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Daily metrics" sheetId="2" state="visible" r:id="rId4"/>
    <sheet name="Raw dat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<sst xmlns="http://schemas.openxmlformats.org/spreadsheetml/2006/main" count="258" uniqueCount="67">
  <si>
    <t xml:space="preserve">Fictional health data</t>
  </si>
  <si>
    <t xml:space="preserve">September 28 to October 25, 2026. Edit source values to explore the formulas.</t>
  </si>
  <si>
    <t xml:space="preserve">Metric</t>
  </si>
  <si>
    <t xml:space="preserve">Recorded days</t>
  </si>
  <si>
    <t xml:space="preserve">Average</t>
  </si>
  <si>
    <t xml:space="preserve">Total</t>
  </si>
  <si>
    <t xml:space="preserve">Unit</t>
  </si>
  <si>
    <t xml:space="preserve">28 fictional journal dates</t>
  </si>
  <si>
    <t xml:space="preserve">Steps</t>
  </si>
  <si>
    <t xml:space="preserve">count</t>
  </si>
  <si>
    <t xml:space="preserve">October 8: no sleep reading</t>
  </si>
  <si>
    <t xml:space="preserve">Sleep duration</t>
  </si>
  <si>
    <t xml:space="preserve">hours</t>
  </si>
  <si>
    <t xml:space="preserve">No targets or health conclusions</t>
  </si>
  <si>
    <t xml:space="preserve">Averages include recorded days only. Missing sleep is a chart gap, not zero.</t>
  </si>
  <si>
    <t xml:space="preserve">Fixed 28-day example. To analyze your own export, follow the Excel or Google Sheets guide.</t>
  </si>
  <si>
    <t xml:space="preserve">Daily metrics</t>
  </si>
  <si>
    <t xml:space="preserve">Fictional data. A blank is not a measured zero.</t>
  </si>
  <si>
    <t xml:space="preserve">Sleep uses journal dates. Missing chart values use #N/A so the line has a gap.</t>
  </si>
  <si>
    <t xml:space="preserve">Journal date</t>
  </si>
  <si>
    <t xml:space="preserve">Chart date</t>
  </si>
  <si>
    <t xml:space="preserve">Step rows</t>
  </si>
  <si>
    <t xml:space="preserve">Sleep rows</t>
  </si>
  <si>
    <t xml:space="preserve">Sleep seconds</t>
  </si>
  <si>
    <t xml:space="preserve">Sleep hours</t>
  </si>
  <si>
    <t xml:space="preserve">Sleep chart</t>
  </si>
  <si>
    <t xml:space="preserve">Duplicate metric rows produce #N/A. Investigate duplicates before adding values.</t>
  </si>
  <si>
    <t xml:space="preserve">Fictional source rows</t>
  </si>
  <si>
    <t xml:space="preserve">Illustrative two-metric CSV subset. No personal health records.</t>
  </si>
  <si>
    <t xml:space="preserve">Source: Health.md fictional starter dataset, https://healthmd.app/blog/export-apple-health-data-to-obsidian/#starter-vault</t>
  </si>
  <si>
    <t xml:space="preserve">Date</t>
  </si>
  <si>
    <t xml:space="preserve">Category</t>
  </si>
  <si>
    <t xml:space="preserve">Value</t>
  </si>
  <si>
    <t xml:space="preserve">Timestamp</t>
  </si>
  <si>
    <t xml:space="preserve">Checked value</t>
  </si>
  <si>
    <t xml:space="preserve">2026-09-28</t>
  </si>
  <si>
    <t xml:space="preserve">Activity</t>
  </si>
  <si>
    <t xml:space="preserve">Sleep</t>
  </si>
  <si>
    <t xml:space="preserve">Total Duration</t>
  </si>
  <si>
    <t xml:space="preserve">seconds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</si>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</sst>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"/>
    <numFmt numFmtId="168" formatCode="0.0"/>
    <numFmt numFmtId="169" formatCode="yyyy\-mm\-dd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83149"/>
      <name val="Arial"/>
      <family val="0"/>
      <charset val="1"/>
    </font>
    <font>
      <b val="true"/>
      <sz val="16"/>
      <color rgb="FF1831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16477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2563E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3A56"/>
        <bgColor rgb="FF18314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7C3AE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16477"/>
      <rgbColor rgb="FF969696"/>
      <rgbColor rgb="FF183149"/>
      <rgbColor rgb="FF339966"/>
      <rgbColor rgb="FF003300"/>
      <rgbColor rgb="FF333300"/>
      <rgbColor rgb="FF993300"/>
      <rgbColor rgb="FF993366"/>
      <rgbColor rgb="FF333399"/>
      <rgbColor rgb="FF213A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Daily steps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"Steps"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rgbClr val="2563EB"/>
            </a:solidFill>
            <a:ln w="1908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metrics'!$B$7:$B$34</c:f>
              <c:strCache>
                <c:ptCount val="28"/>
                <c:pt idx="0">
                  <c:v>09/28</c:v>
                </c:pt>
                <c:pt idx="1">
                  <c:v>09/29</c:v>
                </c:pt>
                <c:pt idx="2">
                  <c:v>09/30</c:v>
                </c:pt>
                <c:pt idx="3">
                  <c:v>10/01</c:v>
                </c:pt>
                <c:pt idx="4">
                  <c:v>10/02</c:v>
                </c:pt>
                <c:pt idx="5">
                  <c:v>10/03</c:v>
                </c:pt>
                <c:pt idx="6">
                  <c:v>10/04</c:v>
                </c:pt>
                <c:pt idx="7">
                  <c:v>10/05</c:v>
                </c:pt>
                <c:pt idx="8">
                  <c:v>10/06</c:v>
                </c:pt>
                <c:pt idx="9">
                  <c:v>10/07</c:v>
                </c:pt>
                <c:pt idx="10">
                  <c:v>10/08</c:v>
                </c:pt>
                <c:pt idx="11">
                  <c:v>10/09</c:v>
                </c:pt>
                <c:pt idx="12">
                  <c:v>10/10</c:v>
                </c:pt>
                <c:pt idx="13">
                  <c:v>10/11</c:v>
                </c:pt>
                <c:pt idx="14">
                  <c:v>10/12</c:v>
                </c:pt>
                <c:pt idx="15">
                  <c:v>10/13</c:v>
                </c:pt>
                <c:pt idx="16">
                  <c:v>10/14</c:v>
                </c:pt>
                <c:pt idx="17">
                  <c:v>10/15</c:v>
                </c:pt>
                <c:pt idx="18">
                  <c:v>10/16</c:v>
                </c:pt>
                <c:pt idx="19">
                  <c:v>10/17</c:v>
                </c:pt>
                <c:pt idx="20">
                  <c:v>10/18</c:v>
                </c:pt>
                <c:pt idx="21">
                  <c:v>10/19</c:v>
                </c:pt>
                <c:pt idx="22">
                  <c:v>10/20</c:v>
                </c:pt>
                <c:pt idx="23">
                  <c:v>10/21</c:v>
                </c:pt>
                <c:pt idx="24">
                  <c:v>10/22</c:v>
                </c:pt>
                <c:pt idx="25">
                  <c:v>10/23</c:v>
                </c:pt>
                <c:pt idx="26">
                  <c:v>10/24</c:v>
                </c:pt>
                <c:pt idx="27">
                  <c:v>10/25</c:v>
                </c:pt>
              </c:strCache>
            </c:strRef>
          </c:cat>
          <c:val>
            <c:numRef>
              <c:f>'Daily metrics'!$D$7:$D$34</c:f>
              <c:numCache>
                <c:formatCode>#,##0</c:formatCode>
                <c:ptCount val="28"/>
                <c:pt idx="0">
                  <c:v>6420</c:v>
                </c:pt>
                <c:pt idx="1">
                  <c:v>8150</c:v>
                </c:pt>
                <c:pt idx="2">
                  <c:v>7230</c:v>
                </c:pt>
                <c:pt idx="3">
                  <c:v>9100</c:v>
                </c:pt>
                <c:pt idx="4">
                  <c:v>5680</c:v>
                </c:pt>
                <c:pt idx="5">
                  <c:v>12340</c:v>
                </c:pt>
                <c:pt idx="6">
                  <c:v>7840</c:v>
                </c:pt>
                <c:pt idx="7">
                  <c:v>7540</c:v>
                </c:pt>
                <c:pt idx="8">
                  <c:v>8920</c:v>
                </c:pt>
                <c:pt idx="9">
                  <c:v>6300</c:v>
                </c:pt>
                <c:pt idx="10">
                  <c:v>9850</c:v>
                </c:pt>
                <c:pt idx="11">
                  <c:v>7020</c:v>
                </c:pt>
                <c:pt idx="12">
                  <c:v>14200</c:v>
                </c:pt>
                <c:pt idx="13">
                  <c:v>8640</c:v>
                </c:pt>
                <c:pt idx="14">
                  <c:v>8120</c:v>
                </c:pt>
                <c:pt idx="15">
                  <c:v>9340</c:v>
                </c:pt>
                <c:pt idx="16">
                  <c:v>6890</c:v>
                </c:pt>
                <c:pt idx="17">
                  <c:v>10120</c:v>
                </c:pt>
                <c:pt idx="18">
                  <c:v>7450</c:v>
                </c:pt>
                <c:pt idx="19">
                  <c:v>13180</c:v>
                </c:pt>
                <c:pt idx="20">
                  <c:v>8720</c:v>
                </c:pt>
                <c:pt idx="21">
                  <c:v>8450</c:v>
                </c:pt>
                <c:pt idx="22">
                  <c:v>9630</c:v>
                </c:pt>
                <c:pt idx="23">
                  <c:v>7210</c:v>
                </c:pt>
                <c:pt idx="24">
                  <c:v>10480</c:v>
                </c:pt>
                <c:pt idx="25">
                  <c:v>7820</c:v>
                </c:pt>
                <c:pt idx="26">
                  <c:v>13840</c:v>
                </c:pt>
                <c:pt idx="27">
                  <c:v>9150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805920"/>
        <c:axId val="62987300"/>
      </c:lineChart>
      <c:catAx>
        <c:axId val="348059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2987300"/>
        <c:crosses val="autoZero"/>
        <c:auto val="1"/>
        <c:lblAlgn val="ctr"/>
        <c:lblOffset val="100"/>
        <c:noMultiLvlLbl val="0"/>
      </c:catAx>
      <c:valAx>
        <c:axId val="6298730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80592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Sleep duration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"Sleep chart"</c:f>
              <c:strCache>
                <c:ptCount val="1"/>
                <c:pt idx="0">
                  <c:v>Sleep chart</c:v>
                </c:pt>
              </c:strCache>
            </c:strRef>
          </c:tx>
          <c:spPr>
            <a:solidFill>
              <a:srgbClr val="7C3AED"/>
            </a:solidFill>
            <a:ln w="19080">
              <a:solidFill>
                <a:srgbClr val="7C3AE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metrics'!$B$7:$B$34</c:f>
              <c:strCache>
                <c:ptCount val="28"/>
                <c:pt idx="0">
                  <c:v>09/28</c:v>
                </c:pt>
                <c:pt idx="1">
                  <c:v>09/29</c:v>
                </c:pt>
                <c:pt idx="2">
                  <c:v>09/30</c:v>
                </c:pt>
                <c:pt idx="3">
                  <c:v>10/01</c:v>
                </c:pt>
                <c:pt idx="4">
                  <c:v>10/02</c:v>
                </c:pt>
                <c:pt idx="5">
                  <c:v>10/03</c:v>
                </c:pt>
                <c:pt idx="6">
                  <c:v>10/04</c:v>
                </c:pt>
                <c:pt idx="7">
                  <c:v>10/05</c:v>
                </c:pt>
                <c:pt idx="8">
                  <c:v>10/06</c:v>
                </c:pt>
                <c:pt idx="9">
                  <c:v>10/07</c:v>
                </c:pt>
                <c:pt idx="10">
                  <c:v>10/08</c:v>
                </c:pt>
                <c:pt idx="11">
                  <c:v>10/09</c:v>
                </c:pt>
                <c:pt idx="12">
                  <c:v>10/10</c:v>
                </c:pt>
                <c:pt idx="13">
                  <c:v>10/11</c:v>
                </c:pt>
                <c:pt idx="14">
                  <c:v>10/12</c:v>
                </c:pt>
                <c:pt idx="15">
                  <c:v>10/13</c:v>
                </c:pt>
                <c:pt idx="16">
                  <c:v>10/14</c:v>
                </c:pt>
                <c:pt idx="17">
                  <c:v>10/15</c:v>
                </c:pt>
                <c:pt idx="18">
                  <c:v>10/16</c:v>
                </c:pt>
                <c:pt idx="19">
                  <c:v>10/17</c:v>
                </c:pt>
                <c:pt idx="20">
                  <c:v>10/18</c:v>
                </c:pt>
                <c:pt idx="21">
                  <c:v>10/19</c:v>
                </c:pt>
                <c:pt idx="22">
                  <c:v>10/20</c:v>
                </c:pt>
                <c:pt idx="23">
                  <c:v>10/21</c:v>
                </c:pt>
                <c:pt idx="24">
                  <c:v>10/22</c:v>
                </c:pt>
                <c:pt idx="25">
                  <c:v>10/23</c:v>
                </c:pt>
                <c:pt idx="26">
                  <c:v>10/24</c:v>
                </c:pt>
                <c:pt idx="27">
                  <c:v>10/25</c:v>
                </c:pt>
              </c:strCache>
            </c:strRef>
          </c:cat>
          <c:val>
            <c:numRef>
              <c:f>'Daily metrics'!$H$7:$H$34</c:f>
              <c:numCache>
                <c:formatCode>0.00</c:formatCode>
                <c:ptCount val="28"/>
                <c:pt idx="0">
                  <c:v>7.25</c:v>
                </c:pt>
                <c:pt idx="1">
                  <c:v>7.5</c:v>
                </c:pt>
                <c:pt idx="2">
                  <c:v>6.75</c:v>
                </c:pt>
                <c:pt idx="3">
                  <c:v>7.1</c:v>
                </c:pt>
                <c:pt idx="4">
                  <c:v>6.4</c:v>
                </c:pt>
                <c:pt idx="5">
                  <c:v>8.2</c:v>
                </c:pt>
                <c:pt idx="6">
                  <c:v>7.8</c:v>
                </c:pt>
                <c:pt idx="7">
                  <c:v>7.4</c:v>
                </c:pt>
                <c:pt idx="8">
                  <c:v>7.6</c:v>
                </c:pt>
                <c:pt idx="9">
                  <c:v>6.9</c:v>
                </c:pt>
                <c:pt idx="11">
                  <c:v>7.3</c:v>
                </c:pt>
                <c:pt idx="12">
                  <c:v>8.1</c:v>
                </c:pt>
                <c:pt idx="13">
                  <c:v>7.9</c:v>
                </c:pt>
                <c:pt idx="14">
                  <c:v>7.5</c:v>
                </c:pt>
                <c:pt idx="15">
                  <c:v>7.7</c:v>
                </c:pt>
                <c:pt idx="16">
                  <c:v>6.6</c:v>
                </c:pt>
                <c:pt idx="17">
                  <c:v>7.2</c:v>
                </c:pt>
                <c:pt idx="18">
                  <c:v>7.4</c:v>
                </c:pt>
                <c:pt idx="19">
                  <c:v>8.3</c:v>
                </c:pt>
                <c:pt idx="20">
                  <c:v>7.8</c:v>
                </c:pt>
                <c:pt idx="21">
                  <c:v>7.6</c:v>
                </c:pt>
                <c:pt idx="22">
                  <c:v>7.8</c:v>
                </c:pt>
                <c:pt idx="23">
                  <c:v>6.9</c:v>
                </c:pt>
                <c:pt idx="24">
                  <c:v>7.4</c:v>
                </c:pt>
                <c:pt idx="25">
                  <c:v>7.5</c:v>
                </c:pt>
                <c:pt idx="26">
                  <c:v>8.2</c:v>
                </c:pt>
                <c:pt idx="27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405343"/>
        <c:axId val="62520815"/>
      </c:lineChart>
      <c:catAx>
        <c:axId val="4140534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2520815"/>
        <c:crosses val="autoZero"/>
        <c:auto val="1"/>
        <c:lblAlgn val="ctr"/>
        <c:lblOffset val="100"/>
        <c:noMultiLvlLbl val="0"/>
      </c:catAx>
      <c:valAx>
        <c:axId val="625208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40534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845640</xdr:colOff>
      <xdr:row>26</xdr:row>
      <xdr:rowOff>291960</xdr:rowOff>
    </xdr:to>
    <xdr:graphicFrame>
      <xdr:nvGraphicFramePr>
        <xdr:cNvPr id="1" name="Chart"/>
        <xdr:cNvGraphicFramePr/>
      </xdr:nvGraphicFramePr>
      <xdr:xfrm>
        <a:off x="611640" y="3060720"/>
        <a:ext cx="5427000" cy="496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845640</xdr:colOff>
      <xdr:row>26</xdr:row>
      <xdr:rowOff>291960</xdr:rowOff>
    </xdr:to>
    <xdr:graphicFrame>
      <xdr:nvGraphicFramePr>
        <xdr:cNvPr id="2" name="Chart"/>
        <xdr:cNvGraphicFramePr/>
      </xdr:nvGraphicFramePr>
      <xdr:xfrm>
        <a:off x="6039000" y="3060720"/>
        <a:ext cx="5074560" cy="496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3A56"/>
    <pageSetUpPr fitToPage="false"/>
  </sheetPr>
  <dimension ref="B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7"/>
    <col collapsed="false" customWidth="true" hidden="false" outlineLevel="0" max="13" min="3" style="0" width="12"/>
  </cols>
  <sheetData>
    <row r="1" customFormat="false" ht="23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9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3" hidden="false" customHeight="true" outlineLevel="0" collapsed="false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23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28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1"/>
      <c r="H5" s="1" t="s">
        <v>7</v>
      </c>
      <c r="I5" s="1"/>
      <c r="J5" s="1"/>
      <c r="K5" s="1"/>
      <c r="L5" s="1"/>
      <c r="M5" s="1"/>
    </row>
    <row r="6" customFormat="false" ht="23" hidden="false" customHeight="true" outlineLevel="0" collapsed="false">
      <c r="B6" s="1" t="s">
        <v>8</v>
      </c>
      <c r="C6" s="4" t="n">
        <f aca="false">COUNT('Daily metrics'!D7:D34)</f>
        <v>28</v>
      </c>
      <c r="D6" s="4" t="n">
        <f aca="false">IF(C6=0,"",AVERAGE('Daily metrics'!D7:D34))</f>
        <v>8915.35714285714</v>
      </c>
      <c r="E6" s="4" t="n">
        <f aca="false">SUM('Daily metrics'!D7:D34)</f>
        <v>249630</v>
      </c>
      <c r="F6" s="1" t="s">
        <v>9</v>
      </c>
      <c r="G6" s="1"/>
      <c r="H6" s="1" t="s">
        <v>10</v>
      </c>
      <c r="I6" s="1"/>
      <c r="J6" s="1"/>
      <c r="K6" s="1"/>
      <c r="L6" s="1"/>
      <c r="M6" s="1"/>
    </row>
    <row r="7" customFormat="false" ht="23" hidden="false" customHeight="true" outlineLevel="0" collapsed="false">
      <c r="B7" s="1" t="s">
        <v>11</v>
      </c>
      <c r="C7" s="5" t="n">
        <f aca="false">COUNT('Daily metrics'!G7:G34)</f>
        <v>27</v>
      </c>
      <c r="D7" s="6" t="n">
        <f aca="false">IF(C7=0,"",AVERAGE('Daily metrics'!G7:G34))</f>
        <v>7.48518518518519</v>
      </c>
      <c r="E7" s="6" t="n">
        <f aca="false">SUM('Daily metrics'!G7:G34)</f>
        <v>202.1</v>
      </c>
      <c r="F7" s="1" t="s">
        <v>12</v>
      </c>
      <c r="G7" s="1"/>
      <c r="H7" s="1" t="s">
        <v>13</v>
      </c>
      <c r="I7" s="1"/>
      <c r="J7" s="1"/>
      <c r="K7" s="1"/>
      <c r="L7" s="1"/>
      <c r="M7" s="1"/>
    </row>
    <row r="8" customFormat="false" ht="23" hidden="false" customHeight="tru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Format="false" ht="23" hidden="false" customHeight="true" outlineLevel="0" collapsed="false">
      <c r="B9" s="7" t="s">
        <v>14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23" hidden="false" customHeight="tru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23" hidden="false" customHeight="tru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23" hidden="false" customHeight="tru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customFormat="false" ht="23" hidden="false" customHeight="true" outlineLevel="0" collapsed="false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23" hidden="false" customHeight="true" outlineLevel="0" collapsed="false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23" hidden="false" customHeight="true" outlineLevel="0" collapsed="false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3" hidden="false" customHeight="true" outlineLevel="0" collapsed="false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23" hidden="false" customHeight="true" outlineLevel="0" collapsed="false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Format="false" ht="23" hidden="false" customHeight="true" outlineLevel="0" collapsed="false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customFormat="false" ht="23" hidden="false" customHeight="true" outlineLevel="0" collapsed="false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customFormat="false" ht="23" hidden="false" customHeight="true" outlineLevel="0" collapsed="false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customFormat="false" ht="23" hidden="false" customHeight="true" outlineLevel="0" collapsed="false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23" hidden="false" customHeight="true" outlineLevel="0" collapsed="false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23" hidden="false" customHeight="true" outlineLevel="0" collapsed="false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23" hidden="false" customHeight="true" outlineLevel="0" collapsed="false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23" hidden="false" customHeight="true" outlineLevel="0" collapsed="false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23" hidden="false" customHeight="true" outlineLevel="0" collapsed="false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23" hidden="false" customHeight="true" outlineLevel="0" collapsed="false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23" hidden="false" customHeight="true" outlineLevel="0" collapsed="false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23" hidden="false" customHeight="true" outlineLevel="0" collapsed="false">
      <c r="B29" s="1" t="s">
        <v>15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16</v>
      </c>
      <c r="B2" s="1"/>
      <c r="C2" s="1"/>
      <c r="D2" s="1"/>
      <c r="E2" s="1"/>
      <c r="F2" s="1"/>
      <c r="G2" s="1"/>
      <c r="H2" s="1"/>
    </row>
    <row r="3" customFormat="false" ht="23" hidden="false" customHeight="true" outlineLevel="0" collapsed="false">
      <c r="A3" s="1" t="s">
        <v>17</v>
      </c>
      <c r="B3" s="1"/>
      <c r="C3" s="1"/>
      <c r="D3" s="1"/>
      <c r="E3" s="1"/>
      <c r="F3" s="1"/>
      <c r="G3" s="1"/>
      <c r="H3" s="1"/>
    </row>
    <row r="4" customFormat="false" ht="23" hidden="false" customHeight="tru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28" hidden="false" customHeight="true" outlineLevel="0" collapsed="false">
      <c r="A6" s="3" t="s">
        <v>19</v>
      </c>
      <c r="B6" s="3" t="s">
        <v>20</v>
      </c>
      <c r="C6" s="3" t="s">
        <v>21</v>
      </c>
      <c r="D6" s="3" t="s">
        <v>8</v>
      </c>
      <c r="E6" s="3" t="s">
        <v>22</v>
      </c>
      <c r="F6" s="3" t="s">
        <v>23</v>
      </c>
      <c r="G6" s="3" t="s">
        <v>24</v>
      </c>
      <c r="H6" s="3" t="s">
        <v>25</v>
      </c>
    </row>
    <row r="7" customFormat="false" ht="23" hidden="false" customHeight="true" outlineLevel="0" collapsed="false">
      <c r="A7" s="8" t="n">
        <v>46293</v>
      </c>
      <c r="B7" s="9" t="str">
        <f aca="false">TEXT(A7,"mm/dd")</f>
        <v>09/28</v>
      </c>
      <c r="C7" s="9" t="n">
        <f aca="false">COUNTIFS('Raw data'!$A$7:$A$61,TEXT(A7,"yyyy-mm-dd"),'Raw data'!$B$7:$B$61,"Activity",'Raw data'!$C$7:$C$61,"Steps",'Raw data'!$E$7:$E$61,"count",'Raw data'!$D$7:$D$61,"&lt;&gt;")</f>
        <v>1</v>
      </c>
      <c r="D7" s="4" t="n">
        <f aca="false">IF(C7=0,"",IF(C7=1,SUMIFS('Raw data'!$G$7:$G$61,'Raw data'!$A$7:$A$61,TEXT(A7,"yyyy-mm-dd"),'Raw data'!$B$7:$B$61,"Activity",'Raw data'!$C$7:$C$61,"Steps",'Raw data'!$E$7:$E$61,"count"),NA()))</f>
        <v>6420</v>
      </c>
      <c r="E7" s="10" t="n">
        <f aca="false">COUNTIFS('Raw data'!$A$7:$A$61,TEXT(A7,"yyyy-mm-dd"),'Raw data'!$B$7:$B$61,"Sleep",'Raw data'!$C$7:$C$61,"Total Duration",'Raw data'!$E$7:$E$61,"seconds",'Raw data'!$D$7:$D$61,"&lt;&gt;")</f>
        <v>1</v>
      </c>
      <c r="F7" s="4" t="n">
        <f aca="false">IF(E7=0,"",IF(E7=1,SUMIFS('Raw data'!$G$7:$G$61,'Raw data'!$A$7:$A$61,TEXT(A7,"yyyy-mm-dd"),'Raw data'!$B$7:$B$61,"Sleep",'Raw data'!$C$7:$C$61,"Total Duration",'Raw data'!$E$7:$E$61,"seconds"),NA()))</f>
        <v>26100</v>
      </c>
      <c r="G7" s="6" t="n">
        <f aca="false">IF(F7="","",F7/3600)</f>
        <v>7.25</v>
      </c>
      <c r="H7" s="6" t="n">
        <f aca="false">IF(G7="",NA(),G7)</f>
        <v>7.25</v>
      </c>
    </row>
    <row r="8" customFormat="false" ht="23" hidden="false" customHeight="true" outlineLevel="0" collapsed="false">
      <c r="A8" s="8" t="n">
        <v>46294</v>
      </c>
      <c r="B8" s="9" t="str">
        <f aca="false">TEXT(A8,"mm/dd")</f>
        <v>09/29</v>
      </c>
      <c r="C8" s="9" t="n">
        <f aca="false">COUNTIFS('Raw data'!$A$7:$A$61,TEXT(A8,"yyyy-mm-dd"),'Raw data'!$B$7:$B$61,"Activity",'Raw data'!$C$7:$C$61,"Steps",'Raw data'!$E$7:$E$61,"count",'Raw data'!$D$7:$D$61,"&lt;&gt;")</f>
        <v>1</v>
      </c>
      <c r="D8" s="4" t="n">
        <f aca="false">IF(C8=0,"",IF(C8=1,SUMIFS('Raw data'!$G$7:$G$61,'Raw data'!$A$7:$A$61,TEXT(A8,"yyyy-mm-dd"),'Raw data'!$B$7:$B$61,"Activity",'Raw data'!$C$7:$C$61,"Steps",'Raw data'!$E$7:$E$61,"count"),NA()))</f>
        <v>8150</v>
      </c>
      <c r="E8" s="10" t="n">
        <f aca="false">COUNTIFS('Raw data'!$A$7:$A$61,TEXT(A8,"yyyy-mm-dd"),'Raw data'!$B$7:$B$61,"Sleep",'Raw data'!$C$7:$C$61,"Total Duration",'Raw data'!$E$7:$E$61,"seconds",'Raw data'!$D$7:$D$61,"&lt;&gt;")</f>
        <v>1</v>
      </c>
      <c r="F8" s="4" t="n">
        <f aca="false">IF(E8=0,"",IF(E8=1,SUMIFS('Raw data'!$G$7:$G$61,'Raw data'!$A$7:$A$61,TEXT(A8,"yyyy-mm-dd"),'Raw data'!$B$7:$B$61,"Sleep",'Raw data'!$C$7:$C$61,"Total Duration",'Raw data'!$E$7:$E$61,"seconds"),NA()))</f>
        <v>27000</v>
      </c>
      <c r="G8" s="6" t="n">
        <f aca="false">IF(F8="","",F8/3600)</f>
        <v>7.5</v>
      </c>
      <c r="H8" s="6" t="n">
        <f aca="false">IF(G8="",NA(),G8)</f>
        <v>7.5</v>
      </c>
    </row>
    <row r="9" customFormat="false" ht="23" hidden="false" customHeight="true" outlineLevel="0" collapsed="false">
      <c r="A9" s="8" t="n">
        <v>46295</v>
      </c>
      <c r="B9" s="9" t="str">
        <f aca="false">TEXT(A9,"mm/dd")</f>
        <v>09/30</v>
      </c>
      <c r="C9" s="9" t="n">
        <f aca="false">COUNTIFS('Raw data'!$A$7:$A$61,TEXT(A9,"yyyy-mm-dd"),'Raw data'!$B$7:$B$61,"Activity",'Raw data'!$C$7:$C$61,"Steps",'Raw data'!$E$7:$E$61,"count",'Raw data'!$D$7:$D$61,"&lt;&gt;")</f>
        <v>1</v>
      </c>
      <c r="D9" s="4" t="n">
        <f aca="false">IF(C9=0,"",IF(C9=1,SUMIFS('Raw data'!$G$7:$G$61,'Raw data'!$A$7:$A$61,TEXT(A9,"yyyy-mm-dd"),'Raw data'!$B$7:$B$61,"Activity",'Raw data'!$C$7:$C$61,"Steps",'Raw data'!$E$7:$E$61,"count"),NA()))</f>
        <v>7230</v>
      </c>
      <c r="E9" s="10" t="n">
        <f aca="false">COUNTIFS('Raw data'!$A$7:$A$61,TEXT(A9,"yyyy-mm-dd"),'Raw data'!$B$7:$B$61,"Sleep",'Raw data'!$C$7:$C$61,"Total Duration",'Raw data'!$E$7:$E$61,"seconds",'Raw data'!$D$7:$D$61,"&lt;&gt;")</f>
        <v>1</v>
      </c>
      <c r="F9" s="4" t="n">
        <f aca="false">IF(E9=0,"",IF(E9=1,SUMIFS('Raw data'!$G$7:$G$61,'Raw data'!$A$7:$A$61,TEXT(A9,"yyyy-mm-dd"),'Raw data'!$B$7:$B$61,"Sleep",'Raw data'!$C$7:$C$61,"Total Duration",'Raw data'!$E$7:$E$61,"seconds"),NA()))</f>
        <v>24300</v>
      </c>
      <c r="G9" s="6" t="n">
        <f aca="false">IF(F9="","",F9/3600)</f>
        <v>6.75</v>
      </c>
      <c r="H9" s="6" t="n">
        <f aca="false">IF(G9="",NA(),G9)</f>
        <v>6.75</v>
      </c>
    </row>
    <row r="10" customFormat="false" ht="23" hidden="false" customHeight="true" outlineLevel="0" collapsed="false">
      <c r="A10" s="8" t="n">
        <v>46296</v>
      </c>
      <c r="B10" s="9" t="str">
        <f aca="false">TEXT(A10,"mm/dd")</f>
        <v>10/01</v>
      </c>
      <c r="C10" s="9" t="n">
        <f aca="false">COUNTIFS('Raw data'!$A$7:$A$61,TEXT(A10,"yyyy-mm-dd"),'Raw data'!$B$7:$B$61,"Activity",'Raw data'!$C$7:$C$61,"Steps",'Raw data'!$E$7:$E$61,"count",'Raw data'!$D$7:$D$61,"&lt;&gt;")</f>
        <v>1</v>
      </c>
      <c r="D10" s="4" t="n">
        <f aca="false">IF(C10=0,"",IF(C10=1,SUMIFS('Raw data'!$G$7:$G$61,'Raw data'!$A$7:$A$61,TEXT(A10,"yyyy-mm-dd"),'Raw data'!$B$7:$B$61,"Activity",'Raw data'!$C$7:$C$61,"Steps",'Raw data'!$E$7:$E$61,"count"),NA()))</f>
        <v>9100</v>
      </c>
      <c r="E10" s="10" t="n">
        <f aca="false">COUNTIFS('Raw data'!$A$7:$A$61,TEXT(A10,"yyyy-mm-dd"),'Raw data'!$B$7:$B$61,"Sleep",'Raw data'!$C$7:$C$61,"Total Duration",'Raw data'!$E$7:$E$61,"seconds",'Raw data'!$D$7:$D$61,"&lt;&gt;")</f>
        <v>1</v>
      </c>
      <c r="F10" s="4" t="n">
        <f aca="false">IF(E10=0,"",IF(E10=1,SUMIFS('Raw data'!$G$7:$G$61,'Raw data'!$A$7:$A$61,TEXT(A10,"yyyy-mm-dd"),'Raw data'!$B$7:$B$61,"Sleep",'Raw data'!$C$7:$C$61,"Total Duration",'Raw data'!$E$7:$E$61,"seconds"),NA()))</f>
        <v>25560</v>
      </c>
      <c r="G10" s="6" t="n">
        <f aca="false">IF(F10="","",F10/3600)</f>
        <v>7.1</v>
      </c>
      <c r="H10" s="6" t="n">
        <f aca="false">IF(G10="",NA(),G10)</f>
        <v>7.1</v>
      </c>
    </row>
    <row r="11" customFormat="false" ht="23" hidden="false" customHeight="true" outlineLevel="0" collapsed="false">
      <c r="A11" s="8" t="n">
        <v>46297</v>
      </c>
      <c r="B11" s="9" t="str">
        <f aca="false">TEXT(A11,"mm/dd")</f>
        <v>10/02</v>
      </c>
      <c r="C11" s="9" t="n">
        <f aca="false">COUNTIFS('Raw data'!$A$7:$A$61,TEXT(A11,"yyyy-mm-dd"),'Raw data'!$B$7:$B$61,"Activity",'Raw data'!$C$7:$C$61,"Steps",'Raw data'!$E$7:$E$61,"count",'Raw data'!$D$7:$D$61,"&lt;&gt;")</f>
        <v>1</v>
      </c>
      <c r="D11" s="4" t="n">
        <f aca="false">IF(C11=0,"",IF(C11=1,SUMIFS('Raw data'!$G$7:$G$61,'Raw data'!$A$7:$A$61,TEXT(A11,"yyyy-mm-dd"),'Raw data'!$B$7:$B$61,"Activity",'Raw data'!$C$7:$C$61,"Steps",'Raw data'!$E$7:$E$61,"count"),NA()))</f>
        <v>5680</v>
      </c>
      <c r="E11" s="10" t="n">
        <f aca="false">COUNTIFS('Raw data'!$A$7:$A$61,TEXT(A11,"yyyy-mm-dd"),'Raw data'!$B$7:$B$61,"Sleep",'Raw data'!$C$7:$C$61,"Total Duration",'Raw data'!$E$7:$E$61,"seconds",'Raw data'!$D$7:$D$61,"&lt;&gt;")</f>
        <v>1</v>
      </c>
      <c r="F11" s="4" t="n">
        <f aca="false">IF(E11=0,"",IF(E11=1,SUMIFS('Raw data'!$G$7:$G$61,'Raw data'!$A$7:$A$61,TEXT(A11,"yyyy-mm-dd"),'Raw data'!$B$7:$B$61,"Sleep",'Raw data'!$C$7:$C$61,"Total Duration",'Raw data'!$E$7:$E$61,"seconds"),NA()))</f>
        <v>23040</v>
      </c>
      <c r="G11" s="6" t="n">
        <f aca="false">IF(F11="","",F11/3600)</f>
        <v>6.4</v>
      </c>
      <c r="H11" s="6" t="n">
        <f aca="false">IF(G11="",NA(),G11)</f>
        <v>6.4</v>
      </c>
    </row>
    <row r="12" customFormat="false" ht="23" hidden="false" customHeight="true" outlineLevel="0" collapsed="false">
      <c r="A12" s="8" t="n">
        <v>46298</v>
      </c>
      <c r="B12" s="9" t="str">
        <f aca="false">TEXT(A12,"mm/dd")</f>
        <v>10/03</v>
      </c>
      <c r="C12" s="9" t="n">
        <f aca="false">COUNTIFS('Raw data'!$A$7:$A$61,TEXT(A12,"yyyy-mm-dd"),'Raw data'!$B$7:$B$61,"Activity",'Raw data'!$C$7:$C$61,"Steps",'Raw data'!$E$7:$E$61,"count",'Raw data'!$D$7:$D$61,"&lt;&gt;")</f>
        <v>1</v>
      </c>
      <c r="D12" s="4" t="n">
        <f aca="false">IF(C12=0,"",IF(C12=1,SUMIFS('Raw data'!$G$7:$G$61,'Raw data'!$A$7:$A$61,TEXT(A12,"yyyy-mm-dd"),'Raw data'!$B$7:$B$61,"Activity",'Raw data'!$C$7:$C$61,"Steps",'Raw data'!$E$7:$E$61,"count"),NA()))</f>
        <v>12340</v>
      </c>
      <c r="E12" s="10" t="n">
        <f aca="false">COUNTIFS('Raw data'!$A$7:$A$61,TEXT(A12,"yyyy-mm-dd"),'Raw data'!$B$7:$B$61,"Sleep",'Raw data'!$C$7:$C$61,"Total Duration",'Raw data'!$E$7:$E$61,"seconds",'Raw data'!$D$7:$D$61,"&lt;&gt;")</f>
        <v>1</v>
      </c>
      <c r="F12" s="4" t="n">
        <f aca="false">IF(E12=0,"",IF(E12=1,SUMIFS('Raw data'!$G$7:$G$61,'Raw data'!$A$7:$A$61,TEXT(A12,"yyyy-mm-dd"),'Raw data'!$B$7:$B$61,"Sleep",'Raw data'!$C$7:$C$61,"Total Duration",'Raw data'!$E$7:$E$61,"seconds"),NA()))</f>
        <v>29520</v>
      </c>
      <c r="G12" s="6" t="n">
        <f aca="false">IF(F12="","",F12/3600)</f>
        <v>8.2</v>
      </c>
      <c r="H12" s="6" t="n">
        <f aca="false">IF(G12="",NA(),G12)</f>
        <v>8.2</v>
      </c>
    </row>
    <row r="13" customFormat="false" ht="23" hidden="false" customHeight="true" outlineLevel="0" collapsed="false">
      <c r="A13" s="8" t="n">
        <v>46299</v>
      </c>
      <c r="B13" s="9" t="str">
        <f aca="false">TEXT(A13,"mm/dd")</f>
        <v>10/04</v>
      </c>
      <c r="C13" s="9" t="n">
        <f aca="false">COUNTIFS('Raw data'!$A$7:$A$61,TEXT(A13,"yyyy-mm-dd"),'Raw data'!$B$7:$B$61,"Activity",'Raw data'!$C$7:$C$61,"Steps",'Raw data'!$E$7:$E$61,"count",'Raw data'!$D$7:$D$61,"&lt;&gt;")</f>
        <v>1</v>
      </c>
      <c r="D13" s="4" t="n">
        <f aca="false">IF(C13=0,"",IF(C13=1,SUMIFS('Raw data'!$G$7:$G$61,'Raw data'!$A$7:$A$61,TEXT(A13,"yyyy-mm-dd"),'Raw data'!$B$7:$B$61,"Activity",'Raw data'!$C$7:$C$61,"Steps",'Raw data'!$E$7:$E$61,"count"),NA()))</f>
        <v>7840</v>
      </c>
      <c r="E13" s="10" t="n">
        <f aca="false">COUNTIFS('Raw data'!$A$7:$A$61,TEXT(A13,"yyyy-mm-dd"),'Raw data'!$B$7:$B$61,"Sleep",'Raw data'!$C$7:$C$61,"Total Duration",'Raw data'!$E$7:$E$61,"seconds",'Raw data'!$D$7:$D$61,"&lt;&gt;")</f>
        <v>1</v>
      </c>
      <c r="F13" s="4" t="n">
        <f aca="false">IF(E13=0,"",IF(E13=1,SUMIFS('Raw data'!$G$7:$G$61,'Raw data'!$A$7:$A$61,TEXT(A13,"yyyy-mm-dd"),'Raw data'!$B$7:$B$61,"Sleep",'Raw data'!$C$7:$C$61,"Total Duration",'Raw data'!$E$7:$E$61,"seconds"),NA()))</f>
        <v>28080</v>
      </c>
      <c r="G13" s="6" t="n">
        <f aca="false">IF(F13="","",F13/3600)</f>
        <v>7.8</v>
      </c>
      <c r="H13" s="6" t="n">
        <f aca="false">IF(G13="",NA(),G13)</f>
        <v>7.8</v>
      </c>
    </row>
    <row r="14" customFormat="false" ht="23" hidden="false" customHeight="true" outlineLevel="0" collapsed="false">
      <c r="A14" s="8" t="n">
        <v>46300</v>
      </c>
      <c r="B14" s="9" t="str">
        <f aca="false">TEXT(A14,"mm/dd")</f>
        <v>10/05</v>
      </c>
      <c r="C14" s="9" t="n">
        <f aca="false">COUNTIFS('Raw data'!$A$7:$A$61,TEXT(A14,"yyyy-mm-dd"),'Raw data'!$B$7:$B$61,"Activity",'Raw data'!$C$7:$C$61,"Steps",'Raw data'!$E$7:$E$61,"count",'Raw data'!$D$7:$D$61,"&lt;&gt;")</f>
        <v>1</v>
      </c>
      <c r="D14" s="4" t="n">
        <f aca="false">IF(C14=0,"",IF(C14=1,SUMIFS('Raw data'!$G$7:$G$61,'Raw data'!$A$7:$A$61,TEXT(A14,"yyyy-mm-dd"),'Raw data'!$B$7:$B$61,"Activity",'Raw data'!$C$7:$C$61,"Steps",'Raw data'!$E$7:$E$61,"count"),NA()))</f>
        <v>7540</v>
      </c>
      <c r="E14" s="10" t="n">
        <f aca="false">COUNTIFS('Raw data'!$A$7:$A$61,TEXT(A14,"yyyy-mm-dd"),'Raw data'!$B$7:$B$61,"Sleep",'Raw data'!$C$7:$C$61,"Total Duration",'Raw data'!$E$7:$E$61,"seconds",'Raw data'!$D$7:$D$61,"&lt;&gt;")</f>
        <v>1</v>
      </c>
      <c r="F14" s="4" t="n">
        <f aca="false">IF(E14=0,"",IF(E14=1,SUMIFS('Raw data'!$G$7:$G$61,'Raw data'!$A$7:$A$61,TEXT(A14,"yyyy-mm-dd"),'Raw data'!$B$7:$B$61,"Sleep",'Raw data'!$C$7:$C$61,"Total Duration",'Raw data'!$E$7:$E$61,"seconds"),NA()))</f>
        <v>26640</v>
      </c>
      <c r="G14" s="6" t="n">
        <f aca="false">IF(F14="","",F14/3600)</f>
        <v>7.4</v>
      </c>
      <c r="H14" s="6" t="n">
        <f aca="false">IF(G14="",NA(),G14)</f>
        <v>7.4</v>
      </c>
    </row>
    <row r="15" customFormat="false" ht="23" hidden="false" customHeight="true" outlineLevel="0" collapsed="false">
      <c r="A15" s="8" t="n">
        <v>46301</v>
      </c>
      <c r="B15" s="9" t="str">
        <f aca="false">TEXT(A15,"mm/dd")</f>
        <v>10/06</v>
      </c>
      <c r="C15" s="9" t="n">
        <f aca="false">COUNTIFS('Raw data'!$A$7:$A$61,TEXT(A15,"yyyy-mm-dd"),'Raw data'!$B$7:$B$61,"Activity",'Raw data'!$C$7:$C$61,"Steps",'Raw data'!$E$7:$E$61,"count",'Raw data'!$D$7:$D$61,"&lt;&gt;")</f>
        <v>1</v>
      </c>
      <c r="D15" s="4" t="n">
        <f aca="false">IF(C15=0,"",IF(C15=1,SUMIFS('Raw data'!$G$7:$G$61,'Raw data'!$A$7:$A$61,TEXT(A15,"yyyy-mm-dd"),'Raw data'!$B$7:$B$61,"Activity",'Raw data'!$C$7:$C$61,"Steps",'Raw data'!$E$7:$E$61,"count"),NA()))</f>
        <v>8920</v>
      </c>
      <c r="E15" s="10" t="n">
        <f aca="false">COUNTIFS('Raw data'!$A$7:$A$61,TEXT(A15,"yyyy-mm-dd"),'Raw data'!$B$7:$B$61,"Sleep",'Raw data'!$C$7:$C$61,"Total Duration",'Raw data'!$E$7:$E$61,"seconds",'Raw data'!$D$7:$D$61,"&lt;&gt;")</f>
        <v>1</v>
      </c>
      <c r="F15" s="4" t="n">
        <f aca="false">IF(E15=0,"",IF(E15=1,SUMIFS('Raw data'!$G$7:$G$61,'Raw data'!$A$7:$A$61,TEXT(A15,"yyyy-mm-dd"),'Raw data'!$B$7:$B$61,"Sleep",'Raw data'!$C$7:$C$61,"Total Duration",'Raw data'!$E$7:$E$61,"seconds"),NA()))</f>
        <v>27360</v>
      </c>
      <c r="G15" s="6" t="n">
        <f aca="false">IF(F15="","",F15/3600)</f>
        <v>7.6</v>
      </c>
      <c r="H15" s="6" t="n">
        <f aca="false">IF(G15="",NA(),G15)</f>
        <v>7.6</v>
      </c>
    </row>
    <row r="16" customFormat="false" ht="23" hidden="false" customHeight="true" outlineLevel="0" collapsed="false">
      <c r="A16" s="8" t="n">
        <v>46302</v>
      </c>
      <c r="B16" s="9" t="str">
        <f aca="false">TEXT(A16,"mm/dd")</f>
        <v>10/07</v>
      </c>
      <c r="C16" s="9" t="n">
        <f aca="false">COUNTIFS('Raw data'!$A$7:$A$61,TEXT(A16,"yyyy-mm-dd"),'Raw data'!$B$7:$B$61,"Activity",'Raw data'!$C$7:$C$61,"Steps",'Raw data'!$E$7:$E$61,"count",'Raw data'!$D$7:$D$61,"&lt;&gt;")</f>
        <v>1</v>
      </c>
      <c r="D16" s="4" t="n">
        <f aca="false">IF(C16=0,"",IF(C16=1,SUMIFS('Raw data'!$G$7:$G$61,'Raw data'!$A$7:$A$61,TEXT(A16,"yyyy-mm-dd"),'Raw data'!$B$7:$B$61,"Activity",'Raw data'!$C$7:$C$61,"Steps",'Raw data'!$E$7:$E$61,"count"),NA()))</f>
        <v>6300</v>
      </c>
      <c r="E16" s="10" t="n">
        <f aca="false">COUNTIFS('Raw data'!$A$7:$A$61,TEXT(A16,"yyyy-mm-dd"),'Raw data'!$B$7:$B$61,"Sleep",'Raw data'!$C$7:$C$61,"Total Duration",'Raw data'!$E$7:$E$61,"seconds",'Raw data'!$D$7:$D$61,"&lt;&gt;")</f>
        <v>1</v>
      </c>
      <c r="F16" s="4" t="n">
        <f aca="false">IF(E16=0,"",IF(E16=1,SUMIFS('Raw data'!$G$7:$G$61,'Raw data'!$A$7:$A$61,TEXT(A16,"yyyy-mm-dd"),'Raw data'!$B$7:$B$61,"Sleep",'Raw data'!$C$7:$C$61,"Total Duration",'Raw data'!$E$7:$E$61,"seconds"),NA()))</f>
        <v>24840</v>
      </c>
      <c r="G16" s="6" t="n">
        <f aca="false">IF(F16="","",F16/3600)</f>
        <v>6.9</v>
      </c>
      <c r="H16" s="6" t="n">
        <f aca="false">IF(G16="",NA(),G16)</f>
        <v>6.9</v>
      </c>
    </row>
    <row r="17" customFormat="false" ht="23" hidden="false" customHeight="true" outlineLevel="0" collapsed="false">
      <c r="A17" s="8" t="n">
        <v>46303</v>
      </c>
      <c r="B17" s="9" t="str">
        <f aca="false">TEXT(A17,"mm/dd")</f>
        <v>10/08</v>
      </c>
      <c r="C17" s="9" t="n">
        <f aca="false">COUNTIFS('Raw data'!$A$7:$A$61,TEXT(A17,"yyyy-mm-dd"),'Raw data'!$B$7:$B$61,"Activity",'Raw data'!$C$7:$C$61,"Steps",'Raw data'!$E$7:$E$61,"count",'Raw data'!$D$7:$D$61,"&lt;&gt;")</f>
        <v>1</v>
      </c>
      <c r="D17" s="4" t="n">
        <f aca="false">IF(C17=0,"",IF(C17=1,SUMIFS('Raw data'!$G$7:$G$61,'Raw data'!$A$7:$A$61,TEXT(A17,"yyyy-mm-dd"),'Raw data'!$B$7:$B$61,"Activity",'Raw data'!$C$7:$C$61,"Steps",'Raw data'!$E$7:$E$61,"count"),NA()))</f>
        <v>9850</v>
      </c>
      <c r="E17" s="10" t="n">
        <f aca="false">COUNTIFS('Raw data'!$A$7:$A$61,TEXT(A17,"yyyy-mm-dd"),'Raw data'!$B$7:$B$61,"Sleep",'Raw data'!$C$7:$C$61,"Total Duration",'Raw data'!$E$7:$E$61,"seconds",'Raw data'!$D$7:$D$61,"&lt;&gt;")</f>
        <v>0</v>
      </c>
      <c r="F17" s="4" t="str">
        <f aca="false">IF(E17=0,"",IF(E17=1,SUMIFS('Raw data'!$G$7:$G$61,'Raw data'!$A$7:$A$61,TEXT(A17,"yyyy-mm-dd"),'Raw data'!$B$7:$B$61,"Sleep",'Raw data'!$C$7:$C$61,"Total Duration",'Raw data'!$E$7:$E$61,"seconds"),NA()))</f>
        <v/>
      </c>
      <c r="G17" s="6" t="str">
        <f aca="false">IF(F17="","",F17/3600)</f>
        <v/>
      </c>
      <c r="H17" s="6" t="e">
        <f aca="false">IF(G17="",NA(),G17)</f>
        <v>#N/A</v>
      </c>
    </row>
    <row r="18" customFormat="false" ht="23" hidden="false" customHeight="true" outlineLevel="0" collapsed="false">
      <c r="A18" s="8" t="n">
        <v>46304</v>
      </c>
      <c r="B18" s="9" t="str">
        <f aca="false">TEXT(A18,"mm/dd")</f>
        <v>10/09</v>
      </c>
      <c r="C18" s="9" t="n">
        <f aca="false">COUNTIFS('Raw data'!$A$7:$A$61,TEXT(A18,"yyyy-mm-dd"),'Raw data'!$B$7:$B$61,"Activity",'Raw data'!$C$7:$C$61,"Steps",'Raw data'!$E$7:$E$61,"count",'Raw data'!$D$7:$D$61,"&lt;&gt;")</f>
        <v>1</v>
      </c>
      <c r="D18" s="4" t="n">
        <f aca="false">IF(C18=0,"",IF(C18=1,SUMIFS('Raw data'!$G$7:$G$61,'Raw data'!$A$7:$A$61,TEXT(A18,"yyyy-mm-dd"),'Raw data'!$B$7:$B$61,"Activity",'Raw data'!$C$7:$C$61,"Steps",'Raw data'!$E$7:$E$61,"count"),NA()))</f>
        <v>7020</v>
      </c>
      <c r="E18" s="10" t="n">
        <f aca="false">COUNTIFS('Raw data'!$A$7:$A$61,TEXT(A18,"yyyy-mm-dd"),'Raw data'!$B$7:$B$61,"Sleep",'Raw data'!$C$7:$C$61,"Total Duration",'Raw data'!$E$7:$E$61,"seconds",'Raw data'!$D$7:$D$61,"&lt;&gt;")</f>
        <v>1</v>
      </c>
      <c r="F18" s="4" t="n">
        <f aca="false">IF(E18=0,"",IF(E18=1,SUMIFS('Raw data'!$G$7:$G$61,'Raw data'!$A$7:$A$61,TEXT(A18,"yyyy-mm-dd"),'Raw data'!$B$7:$B$61,"Sleep",'Raw data'!$C$7:$C$61,"Total Duration",'Raw data'!$E$7:$E$61,"seconds"),NA()))</f>
        <v>26280</v>
      </c>
      <c r="G18" s="6" t="n">
        <f aca="false">IF(F18="","",F18/3600)</f>
        <v>7.3</v>
      </c>
      <c r="H18" s="6" t="n">
        <f aca="false">IF(G18="",NA(),G18)</f>
        <v>7.3</v>
      </c>
    </row>
    <row r="19" customFormat="false" ht="23" hidden="false" customHeight="true" outlineLevel="0" collapsed="false">
      <c r="A19" s="8" t="n">
        <v>46305</v>
      </c>
      <c r="B19" s="9" t="str">
        <f aca="false">TEXT(A19,"mm/dd")</f>
        <v>10/10</v>
      </c>
      <c r="C19" s="9" t="n">
        <f aca="false">COUNTIFS('Raw data'!$A$7:$A$61,TEXT(A19,"yyyy-mm-dd"),'Raw data'!$B$7:$B$61,"Activity",'Raw data'!$C$7:$C$61,"Steps",'Raw data'!$E$7:$E$61,"count",'Raw data'!$D$7:$D$61,"&lt;&gt;")</f>
        <v>1</v>
      </c>
      <c r="D19" s="4" t="n">
        <f aca="false">IF(C19=0,"",IF(C19=1,SUMIFS('Raw data'!$G$7:$G$61,'Raw data'!$A$7:$A$61,TEXT(A19,"yyyy-mm-dd"),'Raw data'!$B$7:$B$61,"Activity",'Raw data'!$C$7:$C$61,"Steps",'Raw data'!$E$7:$E$61,"count"),NA()))</f>
        <v>14200</v>
      </c>
      <c r="E19" s="10" t="n">
        <f aca="false">COUNTIFS('Raw data'!$A$7:$A$61,TEXT(A19,"yyyy-mm-dd"),'Raw data'!$B$7:$B$61,"Sleep",'Raw data'!$C$7:$C$61,"Total Duration",'Raw data'!$E$7:$E$61,"seconds",'Raw data'!$D$7:$D$61,"&lt;&gt;")</f>
        <v>1</v>
      </c>
      <c r="F19" s="4" t="n">
        <f aca="false">IF(E19=0,"",IF(E19=1,SUMIFS('Raw data'!$G$7:$G$61,'Raw data'!$A$7:$A$61,TEXT(A19,"yyyy-mm-dd"),'Raw data'!$B$7:$B$61,"Sleep",'Raw data'!$C$7:$C$61,"Total Duration",'Raw data'!$E$7:$E$61,"seconds"),NA()))</f>
        <v>29160</v>
      </c>
      <c r="G19" s="6" t="n">
        <f aca="false">IF(F19="","",F19/3600)</f>
        <v>8.1</v>
      </c>
      <c r="H19" s="6" t="n">
        <f aca="false">IF(G19="",NA(),G19)</f>
        <v>8.1</v>
      </c>
    </row>
    <row r="20" customFormat="false" ht="23" hidden="false" customHeight="true" outlineLevel="0" collapsed="false">
      <c r="A20" s="8" t="n">
        <v>46306</v>
      </c>
      <c r="B20" s="9" t="str">
        <f aca="false">TEXT(A20,"mm/dd")</f>
        <v>10/11</v>
      </c>
      <c r="C20" s="9" t="n">
        <f aca="false">COUNTIFS('Raw data'!$A$7:$A$61,TEXT(A20,"yyyy-mm-dd"),'Raw data'!$B$7:$B$61,"Activity",'Raw data'!$C$7:$C$61,"Steps",'Raw data'!$E$7:$E$61,"count",'Raw data'!$D$7:$D$61,"&lt;&gt;")</f>
        <v>1</v>
      </c>
      <c r="D20" s="4" t="n">
        <f aca="false">IF(C20=0,"",IF(C20=1,SUMIFS('Raw data'!$G$7:$G$61,'Raw data'!$A$7:$A$61,TEXT(A20,"yyyy-mm-dd"),'Raw data'!$B$7:$B$61,"Activity",'Raw data'!$C$7:$C$61,"Steps",'Raw data'!$E$7:$E$61,"count"),NA()))</f>
        <v>8640</v>
      </c>
      <c r="E20" s="10" t="n">
        <f aca="false">COUNTIFS('Raw data'!$A$7:$A$61,TEXT(A20,"yyyy-mm-dd"),'Raw data'!$B$7:$B$61,"Sleep",'Raw data'!$C$7:$C$61,"Total Duration",'Raw data'!$E$7:$E$61,"seconds",'Raw data'!$D$7:$D$61,"&lt;&gt;")</f>
        <v>1</v>
      </c>
      <c r="F20" s="4" t="n">
        <f aca="false">IF(E20=0,"",IF(E20=1,SUMIFS('Raw data'!$G$7:$G$61,'Raw data'!$A$7:$A$61,TEXT(A20,"yyyy-mm-dd"),'Raw data'!$B$7:$B$61,"Sleep",'Raw data'!$C$7:$C$61,"Total Duration",'Raw data'!$E$7:$E$61,"seconds"),NA()))</f>
        <v>28440</v>
      </c>
      <c r="G20" s="6" t="n">
        <f aca="false">IF(F20="","",F20/3600)</f>
        <v>7.9</v>
      </c>
      <c r="H20" s="6" t="n">
        <f aca="false">IF(G20="",NA(),G20)</f>
        <v>7.9</v>
      </c>
    </row>
    <row r="21" customFormat="false" ht="23" hidden="false" customHeight="true" outlineLevel="0" collapsed="false">
      <c r="A21" s="8" t="n">
        <v>46307</v>
      </c>
      <c r="B21" s="9" t="str">
        <f aca="false">TEXT(A21,"mm/dd")</f>
        <v>10/12</v>
      </c>
      <c r="C21" s="9" t="n">
        <f aca="false">COUNTIFS('Raw data'!$A$7:$A$61,TEXT(A21,"yyyy-mm-dd"),'Raw data'!$B$7:$B$61,"Activity",'Raw data'!$C$7:$C$61,"Steps",'Raw data'!$E$7:$E$61,"count",'Raw data'!$D$7:$D$61,"&lt;&gt;")</f>
        <v>1</v>
      </c>
      <c r="D21" s="4" t="n">
        <f aca="false">IF(C21=0,"",IF(C21=1,SUMIFS('Raw data'!$G$7:$G$61,'Raw data'!$A$7:$A$61,TEXT(A21,"yyyy-mm-dd"),'Raw data'!$B$7:$B$61,"Activity",'Raw data'!$C$7:$C$61,"Steps",'Raw data'!$E$7:$E$61,"count"),NA()))</f>
        <v>8120</v>
      </c>
      <c r="E21" s="10" t="n">
        <f aca="false">COUNTIFS('Raw data'!$A$7:$A$61,TEXT(A21,"yyyy-mm-dd"),'Raw data'!$B$7:$B$61,"Sleep",'Raw data'!$C$7:$C$61,"Total Duration",'Raw data'!$E$7:$E$61,"seconds",'Raw data'!$D$7:$D$61,"&lt;&gt;")</f>
        <v>1</v>
      </c>
      <c r="F21" s="4" t="n">
        <f aca="false">IF(E21=0,"",IF(E21=1,SUMIFS('Raw data'!$G$7:$G$61,'Raw data'!$A$7:$A$61,TEXT(A21,"yyyy-mm-dd"),'Raw data'!$B$7:$B$61,"Sleep",'Raw data'!$C$7:$C$61,"Total Duration",'Raw data'!$E$7:$E$61,"seconds"),NA()))</f>
        <v>27000</v>
      </c>
      <c r="G21" s="6" t="n">
        <f aca="false">IF(F21="","",F21/3600)</f>
        <v>7.5</v>
      </c>
      <c r="H21" s="6" t="n">
        <f aca="false">IF(G21="",NA(),G21)</f>
        <v>7.5</v>
      </c>
    </row>
    <row r="22" customFormat="false" ht="23" hidden="false" customHeight="true" outlineLevel="0" collapsed="false">
      <c r="A22" s="8" t="n">
        <v>46308</v>
      </c>
      <c r="B22" s="9" t="str">
        <f aca="false">TEXT(A22,"mm/dd")</f>
        <v>10/13</v>
      </c>
      <c r="C22" s="9" t="n">
        <f aca="false">COUNTIFS('Raw data'!$A$7:$A$61,TEXT(A22,"yyyy-mm-dd"),'Raw data'!$B$7:$B$61,"Activity",'Raw data'!$C$7:$C$61,"Steps",'Raw data'!$E$7:$E$61,"count",'Raw data'!$D$7:$D$61,"&lt;&gt;")</f>
        <v>1</v>
      </c>
      <c r="D22" s="4" t="n">
        <f aca="false">IF(C22=0,"",IF(C22=1,SUMIFS('Raw data'!$G$7:$G$61,'Raw data'!$A$7:$A$61,TEXT(A22,"yyyy-mm-dd"),'Raw data'!$B$7:$B$61,"Activity",'Raw data'!$C$7:$C$61,"Steps",'Raw data'!$E$7:$E$61,"count"),NA()))</f>
        <v>9340</v>
      </c>
      <c r="E22" s="10" t="n">
        <f aca="false">COUNTIFS('Raw data'!$A$7:$A$61,TEXT(A22,"yyyy-mm-dd"),'Raw data'!$B$7:$B$61,"Sleep",'Raw data'!$C$7:$C$61,"Total Duration",'Raw data'!$E$7:$E$61,"seconds",'Raw data'!$D$7:$D$61,"&lt;&gt;")</f>
        <v>1</v>
      </c>
      <c r="F22" s="4" t="n">
        <f aca="false">IF(E22=0,"",IF(E22=1,SUMIFS('Raw data'!$G$7:$G$61,'Raw data'!$A$7:$A$61,TEXT(A22,"yyyy-mm-dd"),'Raw data'!$B$7:$B$61,"Sleep",'Raw data'!$C$7:$C$61,"Total Duration",'Raw data'!$E$7:$E$61,"seconds"),NA()))</f>
        <v>27720</v>
      </c>
      <c r="G22" s="6" t="n">
        <f aca="false">IF(F22="","",F22/3600)</f>
        <v>7.7</v>
      </c>
      <c r="H22" s="6" t="n">
        <f aca="false">IF(G22="",NA(),G22)</f>
        <v>7.7</v>
      </c>
    </row>
    <row r="23" customFormat="false" ht="23" hidden="false" customHeight="true" outlineLevel="0" collapsed="false">
      <c r="A23" s="8" t="n">
        <v>46309</v>
      </c>
      <c r="B23" s="9" t="str">
        <f aca="false">TEXT(A23,"mm/dd")</f>
        <v>10/14</v>
      </c>
      <c r="C23" s="9" t="n">
        <f aca="false">COUNTIFS('Raw data'!$A$7:$A$61,TEXT(A23,"yyyy-mm-dd"),'Raw data'!$B$7:$B$61,"Activity",'Raw data'!$C$7:$C$61,"Steps",'Raw data'!$E$7:$E$61,"count",'Raw data'!$D$7:$D$61,"&lt;&gt;")</f>
        <v>1</v>
      </c>
      <c r="D23" s="4" t="n">
        <f aca="false">IF(C23=0,"",IF(C23=1,SUMIFS('Raw data'!$G$7:$G$61,'Raw data'!$A$7:$A$61,TEXT(A23,"yyyy-mm-dd"),'Raw data'!$B$7:$B$61,"Activity",'Raw data'!$C$7:$C$61,"Steps",'Raw data'!$E$7:$E$61,"count"),NA()))</f>
        <v>6890</v>
      </c>
      <c r="E23" s="10" t="n">
        <f aca="false">COUNTIFS('Raw data'!$A$7:$A$61,TEXT(A23,"yyyy-mm-dd"),'Raw data'!$B$7:$B$61,"Sleep",'Raw data'!$C$7:$C$61,"Total Duration",'Raw data'!$E$7:$E$61,"seconds",'Raw data'!$D$7:$D$61,"&lt;&gt;")</f>
        <v>1</v>
      </c>
      <c r="F23" s="4" t="n">
        <f aca="false">IF(E23=0,"",IF(E23=1,SUMIFS('Raw data'!$G$7:$G$61,'Raw data'!$A$7:$A$61,TEXT(A23,"yyyy-mm-dd"),'Raw data'!$B$7:$B$61,"Sleep",'Raw data'!$C$7:$C$61,"Total Duration",'Raw data'!$E$7:$E$61,"seconds"),NA()))</f>
        <v>23760</v>
      </c>
      <c r="G23" s="6" t="n">
        <f aca="false">IF(F23="","",F23/3600)</f>
        <v>6.6</v>
      </c>
      <c r="H23" s="6" t="n">
        <f aca="false">IF(G23="",NA(),G23)</f>
        <v>6.6</v>
      </c>
    </row>
    <row r="24" customFormat="false" ht="23" hidden="false" customHeight="true" outlineLevel="0" collapsed="false">
      <c r="A24" s="8" t="n">
        <v>46310</v>
      </c>
      <c r="B24" s="9" t="str">
        <f aca="false">TEXT(A24,"mm/dd")</f>
        <v>10/15</v>
      </c>
      <c r="C24" s="9" t="n">
        <f aca="false">COUNTIFS('Raw data'!$A$7:$A$61,TEXT(A24,"yyyy-mm-dd"),'Raw data'!$B$7:$B$61,"Activity",'Raw data'!$C$7:$C$61,"Steps",'Raw data'!$E$7:$E$61,"count",'Raw data'!$D$7:$D$61,"&lt;&gt;")</f>
        <v>1</v>
      </c>
      <c r="D24" s="4" t="n">
        <f aca="false">IF(C24=0,"",IF(C24=1,SUMIFS('Raw data'!$G$7:$G$61,'Raw data'!$A$7:$A$61,TEXT(A24,"yyyy-mm-dd"),'Raw data'!$B$7:$B$61,"Activity",'Raw data'!$C$7:$C$61,"Steps",'Raw data'!$E$7:$E$61,"count"),NA()))</f>
        <v>10120</v>
      </c>
      <c r="E24" s="10" t="n">
        <f aca="false">COUNTIFS('Raw data'!$A$7:$A$61,TEXT(A24,"yyyy-mm-dd"),'Raw data'!$B$7:$B$61,"Sleep",'Raw data'!$C$7:$C$61,"Total Duration",'Raw data'!$E$7:$E$61,"seconds",'Raw data'!$D$7:$D$61,"&lt;&gt;")</f>
        <v>1</v>
      </c>
      <c r="F24" s="4" t="n">
        <f aca="false">IF(E24=0,"",IF(E24=1,SUMIFS('Raw data'!$G$7:$G$61,'Raw data'!$A$7:$A$61,TEXT(A24,"yyyy-mm-dd"),'Raw data'!$B$7:$B$61,"Sleep",'Raw data'!$C$7:$C$61,"Total Duration",'Raw data'!$E$7:$E$61,"seconds"),NA()))</f>
        <v>25920</v>
      </c>
      <c r="G24" s="6" t="n">
        <f aca="false">IF(F24="","",F24/3600)</f>
        <v>7.2</v>
      </c>
      <c r="H24" s="6" t="n">
        <f aca="false">IF(G24="",NA(),G24)</f>
        <v>7.2</v>
      </c>
    </row>
    <row r="25" customFormat="false" ht="23" hidden="false" customHeight="true" outlineLevel="0" collapsed="false">
      <c r="A25" s="8" t="n">
        <v>46311</v>
      </c>
      <c r="B25" s="9" t="str">
        <f aca="false">TEXT(A25,"mm/dd")</f>
        <v>10/16</v>
      </c>
      <c r="C25" s="9" t="n">
        <f aca="false">COUNTIFS('Raw data'!$A$7:$A$61,TEXT(A25,"yyyy-mm-dd"),'Raw data'!$B$7:$B$61,"Activity",'Raw data'!$C$7:$C$61,"Steps",'Raw data'!$E$7:$E$61,"count",'Raw data'!$D$7:$D$61,"&lt;&gt;")</f>
        <v>1</v>
      </c>
      <c r="D25" s="4" t="n">
        <f aca="false">IF(C25=0,"",IF(C25=1,SUMIFS('Raw data'!$G$7:$G$61,'Raw data'!$A$7:$A$61,TEXT(A25,"yyyy-mm-dd"),'Raw data'!$B$7:$B$61,"Activity",'Raw data'!$C$7:$C$61,"Steps",'Raw data'!$E$7:$E$61,"count"),NA()))</f>
        <v>7450</v>
      </c>
      <c r="E25" s="10" t="n">
        <f aca="false">COUNTIFS('Raw data'!$A$7:$A$61,TEXT(A25,"yyyy-mm-dd"),'Raw data'!$B$7:$B$61,"Sleep",'Raw data'!$C$7:$C$61,"Total Duration",'Raw data'!$E$7:$E$61,"seconds",'Raw data'!$D$7:$D$61,"&lt;&gt;")</f>
        <v>1</v>
      </c>
      <c r="F25" s="4" t="n">
        <f aca="false">IF(E25=0,"",IF(E25=1,SUMIFS('Raw data'!$G$7:$G$61,'Raw data'!$A$7:$A$61,TEXT(A25,"yyyy-mm-dd"),'Raw data'!$B$7:$B$61,"Sleep",'Raw data'!$C$7:$C$61,"Total Duration",'Raw data'!$E$7:$E$61,"seconds"),NA()))</f>
        <v>26640</v>
      </c>
      <c r="G25" s="6" t="n">
        <f aca="false">IF(F25="","",F25/3600)</f>
        <v>7.4</v>
      </c>
      <c r="H25" s="6" t="n">
        <f aca="false">IF(G25="",NA(),G25)</f>
        <v>7.4</v>
      </c>
    </row>
    <row r="26" customFormat="false" ht="23" hidden="false" customHeight="true" outlineLevel="0" collapsed="false">
      <c r="A26" s="8" t="n">
        <v>46312</v>
      </c>
      <c r="B26" s="9" t="str">
        <f aca="false">TEXT(A26,"mm/dd")</f>
        <v>10/17</v>
      </c>
      <c r="C26" s="9" t="n">
        <f aca="false">COUNTIFS('Raw data'!$A$7:$A$61,TEXT(A26,"yyyy-mm-dd"),'Raw data'!$B$7:$B$61,"Activity",'Raw data'!$C$7:$C$61,"Steps",'Raw data'!$E$7:$E$61,"count",'Raw data'!$D$7:$D$61,"&lt;&gt;")</f>
        <v>1</v>
      </c>
      <c r="D26" s="4" t="n">
        <f aca="false">IF(C26=0,"",IF(C26=1,SUMIFS('Raw data'!$G$7:$G$61,'Raw data'!$A$7:$A$61,TEXT(A26,"yyyy-mm-dd"),'Raw data'!$B$7:$B$61,"Activity",'Raw data'!$C$7:$C$61,"Steps",'Raw data'!$E$7:$E$61,"count"),NA()))</f>
        <v>13180</v>
      </c>
      <c r="E26" s="10" t="n">
        <f aca="false">COUNTIFS('Raw data'!$A$7:$A$61,TEXT(A26,"yyyy-mm-dd"),'Raw data'!$B$7:$B$61,"Sleep",'Raw data'!$C$7:$C$61,"Total Duration",'Raw data'!$E$7:$E$61,"seconds",'Raw data'!$D$7:$D$61,"&lt;&gt;")</f>
        <v>1</v>
      </c>
      <c r="F26" s="4" t="n">
        <f aca="false">IF(E26=0,"",IF(E26=1,SUMIFS('Raw data'!$G$7:$G$61,'Raw data'!$A$7:$A$61,TEXT(A26,"yyyy-mm-dd"),'Raw data'!$B$7:$B$61,"Sleep",'Raw data'!$C$7:$C$61,"Total Duration",'Raw data'!$E$7:$E$61,"seconds"),NA()))</f>
        <v>29880</v>
      </c>
      <c r="G26" s="6" t="n">
        <f aca="false">IF(F26="","",F26/3600)</f>
        <v>8.3</v>
      </c>
      <c r="H26" s="6" t="n">
        <f aca="false">IF(G26="",NA(),G26)</f>
        <v>8.3</v>
      </c>
    </row>
    <row r="27" customFormat="false" ht="23" hidden="false" customHeight="true" outlineLevel="0" collapsed="false">
      <c r="A27" s="8" t="n">
        <v>46313</v>
      </c>
      <c r="B27" s="9" t="str">
        <f aca="false">TEXT(A27,"mm/dd")</f>
        <v>10/18</v>
      </c>
      <c r="C27" s="9" t="n">
        <f aca="false">COUNTIFS('Raw data'!$A$7:$A$61,TEXT(A27,"yyyy-mm-dd"),'Raw data'!$B$7:$B$61,"Activity",'Raw data'!$C$7:$C$61,"Steps",'Raw data'!$E$7:$E$61,"count",'Raw data'!$D$7:$D$61,"&lt;&gt;")</f>
        <v>1</v>
      </c>
      <c r="D27" s="4" t="n">
        <f aca="false">IF(C27=0,"",IF(C27=1,SUMIFS('Raw data'!$G$7:$G$61,'Raw data'!$A$7:$A$61,TEXT(A27,"yyyy-mm-dd"),'Raw data'!$B$7:$B$61,"Activity",'Raw data'!$C$7:$C$61,"Steps",'Raw data'!$E$7:$E$61,"count"),NA()))</f>
        <v>8720</v>
      </c>
      <c r="E27" s="10" t="n">
        <f aca="false">COUNTIFS('Raw data'!$A$7:$A$61,TEXT(A27,"yyyy-mm-dd"),'Raw data'!$B$7:$B$61,"Sleep",'Raw data'!$C$7:$C$61,"Total Duration",'Raw data'!$E$7:$E$61,"seconds",'Raw data'!$D$7:$D$61,"&lt;&gt;")</f>
        <v>1</v>
      </c>
      <c r="F27" s="4" t="n">
        <f aca="false">IF(E27=0,"",IF(E27=1,SUMIFS('Raw data'!$G$7:$G$61,'Raw data'!$A$7:$A$61,TEXT(A27,"yyyy-mm-dd"),'Raw data'!$B$7:$B$61,"Sleep",'Raw data'!$C$7:$C$61,"Total Duration",'Raw data'!$E$7:$E$61,"seconds"),NA()))</f>
        <v>28080</v>
      </c>
      <c r="G27" s="6" t="n">
        <f aca="false">IF(F27="","",F27/3600)</f>
        <v>7.8</v>
      </c>
      <c r="H27" s="6" t="n">
        <f aca="false">IF(G27="",NA(),G27)</f>
        <v>7.8</v>
      </c>
    </row>
    <row r="28" customFormat="false" ht="23" hidden="false" customHeight="true" outlineLevel="0" collapsed="false">
      <c r="A28" s="8" t="n">
        <v>46314</v>
      </c>
      <c r="B28" s="9" t="str">
        <f aca="false">TEXT(A28,"mm/dd")</f>
        <v>10/19</v>
      </c>
      <c r="C28" s="9" t="n">
        <f aca="false">COUNTIFS('Raw data'!$A$7:$A$61,TEXT(A28,"yyyy-mm-dd"),'Raw data'!$B$7:$B$61,"Activity",'Raw data'!$C$7:$C$61,"Steps",'Raw data'!$E$7:$E$61,"count",'Raw data'!$D$7:$D$61,"&lt;&gt;")</f>
        <v>1</v>
      </c>
      <c r="D28" s="4" t="n">
        <f aca="false">IF(C28=0,"",IF(C28=1,SUMIFS('Raw data'!$G$7:$G$61,'Raw data'!$A$7:$A$61,TEXT(A28,"yyyy-mm-dd"),'Raw data'!$B$7:$B$61,"Activity",'Raw data'!$C$7:$C$61,"Steps",'Raw data'!$E$7:$E$61,"count"),NA()))</f>
        <v>8450</v>
      </c>
      <c r="E28" s="10" t="n">
        <f aca="false">COUNTIFS('Raw data'!$A$7:$A$61,TEXT(A28,"yyyy-mm-dd"),'Raw data'!$B$7:$B$61,"Sleep",'Raw data'!$C$7:$C$61,"Total Duration",'Raw data'!$E$7:$E$61,"seconds",'Raw data'!$D$7:$D$61,"&lt;&gt;")</f>
        <v>1</v>
      </c>
      <c r="F28" s="4" t="n">
        <f aca="false">IF(E28=0,"",IF(E28=1,SUMIFS('Raw data'!$G$7:$G$61,'Raw data'!$A$7:$A$61,TEXT(A28,"yyyy-mm-dd"),'Raw data'!$B$7:$B$61,"Sleep",'Raw data'!$C$7:$C$61,"Total Duration",'Raw data'!$E$7:$E$61,"seconds"),NA()))</f>
        <v>27360</v>
      </c>
      <c r="G28" s="6" t="n">
        <f aca="false">IF(F28="","",F28/3600)</f>
        <v>7.6</v>
      </c>
      <c r="H28" s="6" t="n">
        <f aca="false">IF(G28="",NA(),G28)</f>
        <v>7.6</v>
      </c>
    </row>
    <row r="29" customFormat="false" ht="23" hidden="false" customHeight="true" outlineLevel="0" collapsed="false">
      <c r="A29" s="8" t="n">
        <v>46315</v>
      </c>
      <c r="B29" s="9" t="str">
        <f aca="false">TEXT(A29,"mm/dd")</f>
        <v>10/20</v>
      </c>
      <c r="C29" s="9" t="n">
        <f aca="false">COUNTIFS('Raw data'!$A$7:$A$61,TEXT(A29,"yyyy-mm-dd"),'Raw data'!$B$7:$B$61,"Activity",'Raw data'!$C$7:$C$61,"Steps",'Raw data'!$E$7:$E$61,"count",'Raw data'!$D$7:$D$61,"&lt;&gt;")</f>
        <v>1</v>
      </c>
      <c r="D29" s="4" t="n">
        <f aca="false">IF(C29=0,"",IF(C29=1,SUMIFS('Raw data'!$G$7:$G$61,'Raw data'!$A$7:$A$61,TEXT(A29,"yyyy-mm-dd"),'Raw data'!$B$7:$B$61,"Activity",'Raw data'!$C$7:$C$61,"Steps",'Raw data'!$E$7:$E$61,"count"),NA()))</f>
        <v>9630</v>
      </c>
      <c r="E29" s="10" t="n">
        <f aca="false">COUNTIFS('Raw data'!$A$7:$A$61,TEXT(A29,"yyyy-mm-dd"),'Raw data'!$B$7:$B$61,"Sleep",'Raw data'!$C$7:$C$61,"Total Duration",'Raw data'!$E$7:$E$61,"seconds",'Raw data'!$D$7:$D$61,"&lt;&gt;")</f>
        <v>1</v>
      </c>
      <c r="F29" s="4" t="n">
        <f aca="false">IF(E29=0,"",IF(E29=1,SUMIFS('Raw data'!$G$7:$G$61,'Raw data'!$A$7:$A$61,TEXT(A29,"yyyy-mm-dd"),'Raw data'!$B$7:$B$61,"Sleep",'Raw data'!$C$7:$C$61,"Total Duration",'Raw data'!$E$7:$E$61,"seconds"),NA()))</f>
        <v>28080</v>
      </c>
      <c r="G29" s="6" t="n">
        <f aca="false">IF(F29="","",F29/3600)</f>
        <v>7.8</v>
      </c>
      <c r="H29" s="6" t="n">
        <f aca="false">IF(G29="",NA(),G29)</f>
        <v>7.8</v>
      </c>
    </row>
    <row r="30" customFormat="false" ht="23" hidden="false" customHeight="true" outlineLevel="0" collapsed="false">
      <c r="A30" s="8" t="n">
        <v>46316</v>
      </c>
      <c r="B30" s="9" t="str">
        <f aca="false">TEXT(A30,"mm/dd")</f>
        <v>10/21</v>
      </c>
      <c r="C30" s="9" t="n">
        <f aca="false">COUNTIFS('Raw data'!$A$7:$A$61,TEXT(A30,"yyyy-mm-dd"),'Raw data'!$B$7:$B$61,"Activity",'Raw data'!$C$7:$C$61,"Steps",'Raw data'!$E$7:$E$61,"count",'Raw data'!$D$7:$D$61,"&lt;&gt;")</f>
        <v>1</v>
      </c>
      <c r="D30" s="4" t="n">
        <f aca="false">IF(C30=0,"",IF(C30=1,SUMIFS('Raw data'!$G$7:$G$61,'Raw data'!$A$7:$A$61,TEXT(A30,"yyyy-mm-dd"),'Raw data'!$B$7:$B$61,"Activity",'Raw data'!$C$7:$C$61,"Steps",'Raw data'!$E$7:$E$61,"count"),NA()))</f>
        <v>7210</v>
      </c>
      <c r="E30" s="10" t="n">
        <f aca="false">COUNTIFS('Raw data'!$A$7:$A$61,TEXT(A30,"yyyy-mm-dd"),'Raw data'!$B$7:$B$61,"Sleep",'Raw data'!$C$7:$C$61,"Total Duration",'Raw data'!$E$7:$E$61,"seconds",'Raw data'!$D$7:$D$61,"&lt;&gt;")</f>
        <v>1</v>
      </c>
      <c r="F30" s="4" t="n">
        <f aca="false">IF(E30=0,"",IF(E30=1,SUMIFS('Raw data'!$G$7:$G$61,'Raw data'!$A$7:$A$61,TEXT(A30,"yyyy-mm-dd"),'Raw data'!$B$7:$B$61,"Sleep",'Raw data'!$C$7:$C$61,"Total Duration",'Raw data'!$E$7:$E$61,"seconds"),NA()))</f>
        <v>24840</v>
      </c>
      <c r="G30" s="6" t="n">
        <f aca="false">IF(F30="","",F30/3600)</f>
        <v>6.9</v>
      </c>
      <c r="H30" s="6" t="n">
        <f aca="false">IF(G30="",NA(),G30)</f>
        <v>6.9</v>
      </c>
    </row>
    <row r="31" customFormat="false" ht="23" hidden="false" customHeight="true" outlineLevel="0" collapsed="false">
      <c r="A31" s="8" t="n">
        <v>46317</v>
      </c>
      <c r="B31" s="9" t="str">
        <f aca="false">TEXT(A31,"mm/dd")</f>
        <v>10/22</v>
      </c>
      <c r="C31" s="9" t="n">
        <f aca="false">COUNTIFS('Raw data'!$A$7:$A$61,TEXT(A31,"yyyy-mm-dd"),'Raw data'!$B$7:$B$61,"Activity",'Raw data'!$C$7:$C$61,"Steps",'Raw data'!$E$7:$E$61,"count",'Raw data'!$D$7:$D$61,"&lt;&gt;")</f>
        <v>1</v>
      </c>
      <c r="D31" s="4" t="n">
        <f aca="false">IF(C31=0,"",IF(C31=1,SUMIFS('Raw data'!$G$7:$G$61,'Raw data'!$A$7:$A$61,TEXT(A31,"yyyy-mm-dd"),'Raw data'!$B$7:$B$61,"Activity",'Raw data'!$C$7:$C$61,"Steps",'Raw data'!$E$7:$E$61,"count"),NA()))</f>
        <v>10480</v>
      </c>
      <c r="E31" s="10" t="n">
        <f aca="false">COUNTIFS('Raw data'!$A$7:$A$61,TEXT(A31,"yyyy-mm-dd"),'Raw data'!$B$7:$B$61,"Sleep",'Raw data'!$C$7:$C$61,"Total Duration",'Raw data'!$E$7:$E$61,"seconds",'Raw data'!$D$7:$D$61,"&lt;&gt;")</f>
        <v>1</v>
      </c>
      <c r="F31" s="4" t="n">
        <f aca="false">IF(E31=0,"",IF(E31=1,SUMIFS('Raw data'!$G$7:$G$61,'Raw data'!$A$7:$A$61,TEXT(A31,"yyyy-mm-dd"),'Raw data'!$B$7:$B$61,"Sleep",'Raw data'!$C$7:$C$61,"Total Duration",'Raw data'!$E$7:$E$61,"seconds"),NA()))</f>
        <v>26640</v>
      </c>
      <c r="G31" s="6" t="n">
        <f aca="false">IF(F31="","",F31/3600)</f>
        <v>7.4</v>
      </c>
      <c r="H31" s="6" t="n">
        <f aca="false">IF(G31="",NA(),G31)</f>
        <v>7.4</v>
      </c>
    </row>
    <row r="32" customFormat="false" ht="23" hidden="false" customHeight="true" outlineLevel="0" collapsed="false">
      <c r="A32" s="8" t="n">
        <v>46318</v>
      </c>
      <c r="B32" s="9" t="str">
        <f aca="false">TEXT(A32,"mm/dd")</f>
        <v>10/23</v>
      </c>
      <c r="C32" s="9" t="n">
        <f aca="false">COUNTIFS('Raw data'!$A$7:$A$61,TEXT(A32,"yyyy-mm-dd"),'Raw data'!$B$7:$B$61,"Activity",'Raw data'!$C$7:$C$61,"Steps",'Raw data'!$E$7:$E$61,"count",'Raw data'!$D$7:$D$61,"&lt;&gt;")</f>
        <v>1</v>
      </c>
      <c r="D32" s="4" t="n">
        <f aca="false">IF(C32=0,"",IF(C32=1,SUMIFS('Raw data'!$G$7:$G$61,'Raw data'!$A$7:$A$61,TEXT(A32,"yyyy-mm-dd"),'Raw data'!$B$7:$B$61,"Activity",'Raw data'!$C$7:$C$61,"Steps",'Raw data'!$E$7:$E$61,"count"),NA()))</f>
        <v>7820</v>
      </c>
      <c r="E32" s="10" t="n">
        <f aca="false">COUNTIFS('Raw data'!$A$7:$A$61,TEXT(A32,"yyyy-mm-dd"),'Raw data'!$B$7:$B$61,"Sleep",'Raw data'!$C$7:$C$61,"Total Duration",'Raw data'!$E$7:$E$61,"seconds",'Raw data'!$D$7:$D$61,"&lt;&gt;")</f>
        <v>1</v>
      </c>
      <c r="F32" s="4" t="n">
        <f aca="false">IF(E32=0,"",IF(E32=1,SUMIFS('Raw data'!$G$7:$G$61,'Raw data'!$A$7:$A$61,TEXT(A32,"yyyy-mm-dd"),'Raw data'!$B$7:$B$61,"Sleep",'Raw data'!$C$7:$C$61,"Total Duration",'Raw data'!$E$7:$E$61,"seconds"),NA()))</f>
        <v>27000</v>
      </c>
      <c r="G32" s="6" t="n">
        <f aca="false">IF(F32="","",F32/3600)</f>
        <v>7.5</v>
      </c>
      <c r="H32" s="6" t="n">
        <f aca="false">IF(G32="",NA(),G32)</f>
        <v>7.5</v>
      </c>
    </row>
    <row r="33" customFormat="false" ht="23" hidden="false" customHeight="true" outlineLevel="0" collapsed="false">
      <c r="A33" s="8" t="n">
        <v>46319</v>
      </c>
      <c r="B33" s="9" t="str">
        <f aca="false">TEXT(A33,"mm/dd")</f>
        <v>10/24</v>
      </c>
      <c r="C33" s="9" t="n">
        <f aca="false">COUNTIFS('Raw data'!$A$7:$A$61,TEXT(A33,"yyyy-mm-dd"),'Raw data'!$B$7:$B$61,"Activity",'Raw data'!$C$7:$C$61,"Steps",'Raw data'!$E$7:$E$61,"count",'Raw data'!$D$7:$D$61,"&lt;&gt;")</f>
        <v>1</v>
      </c>
      <c r="D33" s="4" t="n">
        <f aca="false">IF(C33=0,"",IF(C33=1,SUMIFS('Raw data'!$G$7:$G$61,'Raw data'!$A$7:$A$61,TEXT(A33,"yyyy-mm-dd"),'Raw data'!$B$7:$B$61,"Activity",'Raw data'!$C$7:$C$61,"Steps",'Raw data'!$E$7:$E$61,"count"),NA()))</f>
        <v>13840</v>
      </c>
      <c r="E33" s="10" t="n">
        <f aca="false">COUNTIFS('Raw data'!$A$7:$A$61,TEXT(A33,"yyyy-mm-dd"),'Raw data'!$B$7:$B$61,"Sleep",'Raw data'!$C$7:$C$61,"Total Duration",'Raw data'!$E$7:$E$61,"seconds",'Raw data'!$D$7:$D$61,"&lt;&gt;")</f>
        <v>1</v>
      </c>
      <c r="F33" s="4" t="n">
        <f aca="false">IF(E33=0,"",IF(E33=1,SUMIFS('Raw data'!$G$7:$G$61,'Raw data'!$A$7:$A$61,TEXT(A33,"yyyy-mm-dd"),'Raw data'!$B$7:$B$61,"Sleep",'Raw data'!$C$7:$C$61,"Total Duration",'Raw data'!$E$7:$E$61,"seconds"),NA()))</f>
        <v>29520</v>
      </c>
      <c r="G33" s="6" t="n">
        <f aca="false">IF(F33="","",F33/3600)</f>
        <v>8.2</v>
      </c>
      <c r="H33" s="6" t="n">
        <f aca="false">IF(G33="",NA(),G33)</f>
        <v>8.2</v>
      </c>
    </row>
    <row r="34" customFormat="false" ht="23" hidden="false" customHeight="true" outlineLevel="0" collapsed="false">
      <c r="A34" s="8" t="n">
        <v>46320</v>
      </c>
      <c r="B34" s="9" t="str">
        <f aca="false">TEXT(A34,"mm/dd")</f>
        <v>10/25</v>
      </c>
      <c r="C34" s="9" t="n">
        <f aca="false">COUNTIFS('Raw data'!$A$7:$A$61,TEXT(A34,"yyyy-mm-dd"),'Raw data'!$B$7:$B$61,"Activity",'Raw data'!$C$7:$C$61,"Steps",'Raw data'!$E$7:$E$61,"count",'Raw data'!$D$7:$D$61,"&lt;&gt;")</f>
        <v>1</v>
      </c>
      <c r="D34" s="4" t="n">
        <f aca="false">IF(C34=0,"",IF(C34=1,SUMIFS('Raw data'!$G$7:$G$61,'Raw data'!$A$7:$A$61,TEXT(A34,"yyyy-mm-dd"),'Raw data'!$B$7:$B$61,"Activity",'Raw data'!$C$7:$C$61,"Steps",'Raw data'!$E$7:$E$61,"count"),NA()))</f>
        <v>9150</v>
      </c>
      <c r="E34" s="10" t="n">
        <f aca="false">COUNTIFS('Raw data'!$A$7:$A$61,TEXT(A34,"yyyy-mm-dd"),'Raw data'!$B$7:$B$61,"Sleep",'Raw data'!$C$7:$C$61,"Total Duration",'Raw data'!$E$7:$E$61,"seconds",'Raw data'!$D$7:$D$61,"&lt;&gt;")</f>
        <v>1</v>
      </c>
      <c r="F34" s="4" t="n">
        <f aca="false">IF(E34=0,"",IF(E34=1,SUMIFS('Raw data'!$G$7:$G$61,'Raw data'!$A$7:$A$61,TEXT(A34,"yyyy-mm-dd"),'Raw data'!$B$7:$B$61,"Sleep",'Raw data'!$C$7:$C$61,"Total Duration",'Raw data'!$E$7:$E$61,"seconds"),NA()))</f>
        <v>28800</v>
      </c>
      <c r="G34" s="6" t="n">
        <f aca="false">IF(F34="","",F34/3600)</f>
        <v>8</v>
      </c>
      <c r="H34" s="6" t="n">
        <f aca="false">IF(G34="",NA(),G34)</f>
        <v>8</v>
      </c>
    </row>
    <row r="35" customFormat="false" ht="23" hidden="false" customHeight="tru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23" hidden="false" customHeight="true" outlineLevel="0" collapsed="false">
      <c r="A36" s="1" t="s">
        <v>26</v>
      </c>
      <c r="B36" s="1"/>
      <c r="C36" s="1"/>
      <c r="D36" s="1"/>
      <c r="E36" s="1"/>
      <c r="F36" s="1"/>
      <c r="G36" s="1"/>
      <c r="H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16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29" hidden="false" customHeight="true" outlineLevel="0" collapsed="false">
      <c r="A2" s="2" t="s">
        <v>27</v>
      </c>
      <c r="B2" s="1"/>
      <c r="C2" s="1"/>
      <c r="D2" s="1"/>
      <c r="E2" s="1"/>
      <c r="F2" s="1"/>
      <c r="G2" s="1"/>
    </row>
    <row r="3" customFormat="false" ht="23" hidden="false" customHeight="true" outlineLevel="0" collapsed="false">
      <c r="A3" s="7" t="s">
        <v>28</v>
      </c>
      <c r="B3" s="7"/>
      <c r="C3" s="7"/>
      <c r="D3" s="7"/>
      <c r="E3" s="7"/>
      <c r="F3" s="7"/>
      <c r="G3" s="7"/>
    </row>
    <row r="4" customFormat="false" ht="23" hidden="false" customHeight="true" outlineLevel="0" collapsed="false">
      <c r="A4" s="7" t="s">
        <v>29</v>
      </c>
      <c r="B4" s="7"/>
      <c r="C4" s="7"/>
      <c r="D4" s="7"/>
      <c r="E4" s="7"/>
      <c r="F4" s="7"/>
      <c r="G4" s="7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28" hidden="false" customHeight="true" outlineLevel="0" collapsed="false">
      <c r="A6" s="3" t="s">
        <v>30</v>
      </c>
      <c r="B6" s="3" t="s">
        <v>31</v>
      </c>
      <c r="C6" s="3" t="s">
        <v>2</v>
      </c>
      <c r="D6" s="3" t="s">
        <v>32</v>
      </c>
      <c r="E6" s="3" t="s">
        <v>6</v>
      </c>
      <c r="F6" s="3" t="s">
        <v>33</v>
      </c>
      <c r="G6" s="3" t="s">
        <v>34</v>
      </c>
    </row>
    <row r="7" customFormat="false" ht="23" hidden="false" customHeight="true" outlineLevel="0" collapsed="false">
      <c r="A7" s="1" t="s">
        <v>35</v>
      </c>
      <c r="B7" s="1" t="s">
        <v>36</v>
      </c>
      <c r="C7" s="1" t="s">
        <v>8</v>
      </c>
      <c r="D7" s="11" t="n">
        <v>6420</v>
      </c>
      <c r="E7" s="9" t="s">
        <v>9</v>
      </c>
      <c r="F7" s="1"/>
      <c r="G7" s="5" t="n">
        <f aca="false">IF(D7="","",IF(ISNUMBER(D7),D7,NA()))</f>
        <v>6420</v>
      </c>
    </row>
    <row r="8" customFormat="false" ht="23" hidden="false" customHeight="true" outlineLevel="0" collapsed="false">
      <c r="A8" s="1" t="s">
        <v>35</v>
      </c>
      <c r="B8" s="1" t="s">
        <v>37</v>
      </c>
      <c r="C8" s="1" t="s">
        <v>38</v>
      </c>
      <c r="D8" s="11" t="n">
        <v>26100</v>
      </c>
      <c r="E8" s="9" t="s">
        <v>39</v>
      </c>
      <c r="F8" s="1"/>
      <c r="G8" s="5" t="n">
        <f aca="false">IF(D8="","",IF(ISNUMBER(D8),D8,NA()))</f>
        <v>26100</v>
      </c>
    </row>
    <row r="9" customFormat="false" ht="23" hidden="false" customHeight="true" outlineLevel="0" collapsed="false">
      <c r="A9" s="1" t="s">
        <v>40</v>
      </c>
      <c r="B9" s="1" t="s">
        <v>36</v>
      </c>
      <c r="C9" s="1" t="s">
        <v>8</v>
      </c>
      <c r="D9" s="11" t="n">
        <v>8150</v>
      </c>
      <c r="E9" s="9" t="s">
        <v>9</v>
      </c>
      <c r="F9" s="1"/>
      <c r="G9" s="5" t="n">
        <f aca="false">IF(D9="","",IF(ISNUMBER(D9),D9,NA()))</f>
        <v>8150</v>
      </c>
    </row>
    <row r="10" customFormat="false" ht="23" hidden="false" customHeight="true" outlineLevel="0" collapsed="false">
      <c r="A10" s="1" t="s">
        <v>40</v>
      </c>
      <c r="B10" s="1" t="s">
        <v>37</v>
      </c>
      <c r="C10" s="1" t="s">
        <v>38</v>
      </c>
      <c r="D10" s="11" t="n">
        <v>27000</v>
      </c>
      <c r="E10" s="9" t="s">
        <v>39</v>
      </c>
      <c r="F10" s="1"/>
      <c r="G10" s="5" t="n">
        <f aca="false">IF(D10="","",IF(ISNUMBER(D10),D10,NA()))</f>
        <v>27000</v>
      </c>
    </row>
    <row r="11" customFormat="false" ht="23" hidden="false" customHeight="true" outlineLevel="0" collapsed="false">
      <c r="A11" s="1" t="s">
        <v>41</v>
      </c>
      <c r="B11" s="1" t="s">
        <v>36</v>
      </c>
      <c r="C11" s="1" t="s">
        <v>8</v>
      </c>
      <c r="D11" s="11" t="n">
        <v>7230</v>
      </c>
      <c r="E11" s="9" t="s">
        <v>9</v>
      </c>
      <c r="F11" s="1"/>
      <c r="G11" s="5" t="n">
        <f aca="false">IF(D11="","",IF(ISNUMBER(D11),D11,NA()))</f>
        <v>7230</v>
      </c>
    </row>
    <row r="12" customFormat="false" ht="23" hidden="false" customHeight="true" outlineLevel="0" collapsed="false">
      <c r="A12" s="1" t="s">
        <v>41</v>
      </c>
      <c r="B12" s="1" t="s">
        <v>37</v>
      </c>
      <c r="C12" s="1" t="s">
        <v>38</v>
      </c>
      <c r="D12" s="11" t="n">
        <v>24300</v>
      </c>
      <c r="E12" s="9" t="s">
        <v>39</v>
      </c>
      <c r="F12" s="1"/>
      <c r="G12" s="5" t="n">
        <f aca="false">IF(D12="","",IF(ISNUMBER(D12),D12,NA()))</f>
        <v>24300</v>
      </c>
    </row>
    <row r="13" customFormat="false" ht="23" hidden="false" customHeight="true" outlineLevel="0" collapsed="false">
      <c r="A13" s="1" t="s">
        <v>42</v>
      </c>
      <c r="B13" s="1" t="s">
        <v>36</v>
      </c>
      <c r="C13" s="1" t="s">
        <v>8</v>
      </c>
      <c r="D13" s="11" t="n">
        <v>9100</v>
      </c>
      <c r="E13" s="9" t="s">
        <v>9</v>
      </c>
      <c r="F13" s="1"/>
      <c r="G13" s="5" t="n">
        <f aca="false">IF(D13="","",IF(ISNUMBER(D13),D13,NA()))</f>
        <v>9100</v>
      </c>
    </row>
    <row r="14" customFormat="false" ht="23" hidden="false" customHeight="true" outlineLevel="0" collapsed="false">
      <c r="A14" s="1" t="s">
        <v>42</v>
      </c>
      <c r="B14" s="1" t="s">
        <v>37</v>
      </c>
      <c r="C14" s="1" t="s">
        <v>38</v>
      </c>
      <c r="D14" s="11" t="n">
        <v>25560</v>
      </c>
      <c r="E14" s="9" t="s">
        <v>39</v>
      </c>
      <c r="F14" s="1"/>
      <c r="G14" s="5" t="n">
        <f aca="false">IF(D14="","",IF(ISNUMBER(D14),D14,NA()))</f>
        <v>25560</v>
      </c>
    </row>
    <row r="15" customFormat="false" ht="23" hidden="false" customHeight="true" outlineLevel="0" collapsed="false">
      <c r="A15" s="1" t="s">
        <v>43</v>
      </c>
      <c r="B15" s="1" t="s">
        <v>36</v>
      </c>
      <c r="C15" s="1" t="s">
        <v>8</v>
      </c>
      <c r="D15" s="11" t="n">
        <v>5680</v>
      </c>
      <c r="E15" s="9" t="s">
        <v>9</v>
      </c>
      <c r="F15" s="1"/>
      <c r="G15" s="5" t="n">
        <f aca="false">IF(D15="","",IF(ISNUMBER(D15),D15,NA()))</f>
        <v>5680</v>
      </c>
    </row>
    <row r="16" customFormat="false" ht="23" hidden="false" customHeight="true" outlineLevel="0" collapsed="false">
      <c r="A16" s="1" t="s">
        <v>43</v>
      </c>
      <c r="B16" s="1" t="s">
        <v>37</v>
      </c>
      <c r="C16" s="1" t="s">
        <v>38</v>
      </c>
      <c r="D16" s="11" t="n">
        <v>23040</v>
      </c>
      <c r="E16" s="9" t="s">
        <v>39</v>
      </c>
      <c r="F16" s="1"/>
      <c r="G16" s="5" t="n">
        <f aca="false">IF(D16="","",IF(ISNUMBER(D16),D16,NA()))</f>
        <v>23040</v>
      </c>
    </row>
    <row r="17" customFormat="false" ht="23" hidden="false" customHeight="true" outlineLevel="0" collapsed="false">
      <c r="A17" s="1" t="s">
        <v>44</v>
      </c>
      <c r="B17" s="1" t="s">
        <v>36</v>
      </c>
      <c r="C17" s="1" t="s">
        <v>8</v>
      </c>
      <c r="D17" s="11" t="n">
        <v>12340</v>
      </c>
      <c r="E17" s="9" t="s">
        <v>9</v>
      </c>
      <c r="F17" s="1"/>
      <c r="G17" s="5" t="n">
        <f aca="false">IF(D17="","",IF(ISNUMBER(D17),D17,NA()))</f>
        <v>12340</v>
      </c>
    </row>
    <row r="18" customFormat="false" ht="23" hidden="false" customHeight="true" outlineLevel="0" collapsed="false">
      <c r="A18" s="1" t="s">
        <v>44</v>
      </c>
      <c r="B18" s="1" t="s">
        <v>37</v>
      </c>
      <c r="C18" s="1" t="s">
        <v>38</v>
      </c>
      <c r="D18" s="11" t="n">
        <v>29520</v>
      </c>
      <c r="E18" s="9" t="s">
        <v>39</v>
      </c>
      <c r="F18" s="1"/>
      <c r="G18" s="5" t="n">
        <f aca="false">IF(D18="","",IF(ISNUMBER(D18),D18,NA()))</f>
        <v>29520</v>
      </c>
    </row>
    <row r="19" customFormat="false" ht="23" hidden="false" customHeight="true" outlineLevel="0" collapsed="false">
      <c r="A19" s="1" t="s">
        <v>45</v>
      </c>
      <c r="B19" s="1" t="s">
        <v>36</v>
      </c>
      <c r="C19" s="1" t="s">
        <v>8</v>
      </c>
      <c r="D19" s="11" t="n">
        <v>7840</v>
      </c>
      <c r="E19" s="9" t="s">
        <v>9</v>
      </c>
      <c r="F19" s="1"/>
      <c r="G19" s="5" t="n">
        <f aca="false">IF(D19="","",IF(ISNUMBER(D19),D19,NA()))</f>
        <v>7840</v>
      </c>
    </row>
    <row r="20" customFormat="false" ht="23" hidden="false" customHeight="true" outlineLevel="0" collapsed="false">
      <c r="A20" s="1" t="s">
        <v>45</v>
      </c>
      <c r="B20" s="1" t="s">
        <v>37</v>
      </c>
      <c r="C20" s="1" t="s">
        <v>38</v>
      </c>
      <c r="D20" s="11" t="n">
        <v>28080</v>
      </c>
      <c r="E20" s="9" t="s">
        <v>39</v>
      </c>
      <c r="F20" s="1"/>
      <c r="G20" s="5" t="n">
        <f aca="false">IF(D20="","",IF(ISNUMBER(D20),D20,NA()))</f>
        <v>28080</v>
      </c>
    </row>
    <row r="21" customFormat="false" ht="23" hidden="false" customHeight="true" outlineLevel="0" collapsed="false">
      <c r="A21" s="1" t="s">
        <v>46</v>
      </c>
      <c r="B21" s="1" t="s">
        <v>36</v>
      </c>
      <c r="C21" s="1" t="s">
        <v>8</v>
      </c>
      <c r="D21" s="11" t="n">
        <v>7540</v>
      </c>
      <c r="E21" s="9" t="s">
        <v>9</v>
      </c>
      <c r="F21" s="1"/>
      <c r="G21" s="5" t="n">
        <f aca="false">IF(D21="","",IF(ISNUMBER(D21),D21,NA()))</f>
        <v>7540</v>
      </c>
    </row>
    <row r="22" customFormat="false" ht="23" hidden="false" customHeight="true" outlineLevel="0" collapsed="false">
      <c r="A22" s="1" t="s">
        <v>46</v>
      </c>
      <c r="B22" s="1" t="s">
        <v>37</v>
      </c>
      <c r="C22" s="1" t="s">
        <v>38</v>
      </c>
      <c r="D22" s="11" t="n">
        <v>26640</v>
      </c>
      <c r="E22" s="9" t="s">
        <v>39</v>
      </c>
      <c r="F22" s="1"/>
      <c r="G22" s="5" t="n">
        <f aca="false">IF(D22="","",IF(ISNUMBER(D22),D22,NA()))</f>
        <v>26640</v>
      </c>
    </row>
    <row r="23" customFormat="false" ht="23" hidden="false" customHeight="true" outlineLevel="0" collapsed="false">
      <c r="A23" s="1" t="s">
        <v>47</v>
      </c>
      <c r="B23" s="1" t="s">
        <v>36</v>
      </c>
      <c r="C23" s="1" t="s">
        <v>8</v>
      </c>
      <c r="D23" s="11" t="n">
        <v>8920</v>
      </c>
      <c r="E23" s="9" t="s">
        <v>9</v>
      </c>
      <c r="F23" s="1"/>
      <c r="G23" s="5" t="n">
        <f aca="false">IF(D23="","",IF(ISNUMBER(D23),D23,NA()))</f>
        <v>8920</v>
      </c>
    </row>
    <row r="24" customFormat="false" ht="23" hidden="false" customHeight="true" outlineLevel="0" collapsed="false">
      <c r="A24" s="1" t="s">
        <v>47</v>
      </c>
      <c r="B24" s="1" t="s">
        <v>37</v>
      </c>
      <c r="C24" s="1" t="s">
        <v>38</v>
      </c>
      <c r="D24" s="11" t="n">
        <v>27360</v>
      </c>
      <c r="E24" s="9" t="s">
        <v>39</v>
      </c>
      <c r="F24" s="1"/>
      <c r="G24" s="5" t="n">
        <f aca="false">IF(D24="","",IF(ISNUMBER(D24),D24,NA()))</f>
        <v>27360</v>
      </c>
    </row>
    <row r="25" customFormat="false" ht="23" hidden="false" customHeight="true" outlineLevel="0" collapsed="false">
      <c r="A25" s="1" t="s">
        <v>48</v>
      </c>
      <c r="B25" s="1" t="s">
        <v>36</v>
      </c>
      <c r="C25" s="1" t="s">
        <v>8</v>
      </c>
      <c r="D25" s="11" t="n">
        <v>6300</v>
      </c>
      <c r="E25" s="9" t="s">
        <v>9</v>
      </c>
      <c r="F25" s="1"/>
      <c r="G25" s="5" t="n">
        <f aca="false">IF(D25="","",IF(ISNUMBER(D25),D25,NA()))</f>
        <v>6300</v>
      </c>
    </row>
    <row r="26" customFormat="false" ht="23" hidden="false" customHeight="true" outlineLevel="0" collapsed="false">
      <c r="A26" s="1" t="s">
        <v>48</v>
      </c>
      <c r="B26" s="1" t="s">
        <v>37</v>
      </c>
      <c r="C26" s="1" t="s">
        <v>38</v>
      </c>
      <c r="D26" s="11" t="n">
        <v>24840</v>
      </c>
      <c r="E26" s="9" t="s">
        <v>39</v>
      </c>
      <c r="F26" s="1"/>
      <c r="G26" s="5" t="n">
        <f aca="false">IF(D26="","",IF(ISNUMBER(D26),D26,NA()))</f>
        <v>24840</v>
      </c>
    </row>
    <row r="27" customFormat="false" ht="23" hidden="false" customHeight="true" outlineLevel="0" collapsed="false">
      <c r="A27" s="1" t="s">
        <v>49</v>
      </c>
      <c r="B27" s="1" t="s">
        <v>36</v>
      </c>
      <c r="C27" s="1" t="s">
        <v>8</v>
      </c>
      <c r="D27" s="11" t="n">
        <v>9850</v>
      </c>
      <c r="E27" s="9" t="s">
        <v>9</v>
      </c>
      <c r="F27" s="1"/>
      <c r="G27" s="5" t="n">
        <f aca="false">IF(D27="","",IF(ISNUMBER(D27),D27,NA()))</f>
        <v>9850</v>
      </c>
    </row>
    <row r="28" customFormat="false" ht="23" hidden="false" customHeight="true" outlineLevel="0" collapsed="false">
      <c r="A28" s="1" t="s">
        <v>50</v>
      </c>
      <c r="B28" s="1" t="s">
        <v>36</v>
      </c>
      <c r="C28" s="1" t="s">
        <v>8</v>
      </c>
      <c r="D28" s="11" t="n">
        <v>7020</v>
      </c>
      <c r="E28" s="9" t="s">
        <v>9</v>
      </c>
      <c r="F28" s="1"/>
      <c r="G28" s="5" t="n">
        <f aca="false">IF(D28="","",IF(ISNUMBER(D28),D28,NA()))</f>
        <v>7020</v>
      </c>
    </row>
    <row r="29" customFormat="false" ht="23" hidden="false" customHeight="true" outlineLevel="0" collapsed="false">
      <c r="A29" s="1" t="s">
        <v>50</v>
      </c>
      <c r="B29" s="1" t="s">
        <v>37</v>
      </c>
      <c r="C29" s="1" t="s">
        <v>38</v>
      </c>
      <c r="D29" s="11" t="n">
        <v>26280</v>
      </c>
      <c r="E29" s="9" t="s">
        <v>39</v>
      </c>
      <c r="F29" s="1"/>
      <c r="G29" s="5" t="n">
        <f aca="false">IF(D29="","",IF(ISNUMBER(D29),D29,NA()))</f>
        <v>26280</v>
      </c>
    </row>
    <row r="30" customFormat="false" ht="23" hidden="false" customHeight="true" outlineLevel="0" collapsed="false">
      <c r="A30" s="1" t="s">
        <v>51</v>
      </c>
      <c r="B30" s="1" t="s">
        <v>36</v>
      </c>
      <c r="C30" s="1" t="s">
        <v>8</v>
      </c>
      <c r="D30" s="11" t="n">
        <v>14200</v>
      </c>
      <c r="E30" s="9" t="s">
        <v>9</v>
      </c>
      <c r="F30" s="1"/>
      <c r="G30" s="5" t="n">
        <f aca="false">IF(D30="","",IF(ISNUMBER(D30),D30,NA()))</f>
        <v>14200</v>
      </c>
    </row>
    <row r="31" customFormat="false" ht="23" hidden="false" customHeight="true" outlineLevel="0" collapsed="false">
      <c r="A31" s="1" t="s">
        <v>51</v>
      </c>
      <c r="B31" s="1" t="s">
        <v>37</v>
      </c>
      <c r="C31" s="1" t="s">
        <v>38</v>
      </c>
      <c r="D31" s="11" t="n">
        <v>29160</v>
      </c>
      <c r="E31" s="9" t="s">
        <v>39</v>
      </c>
      <c r="F31" s="1"/>
      <c r="G31" s="5" t="n">
        <f aca="false">IF(D31="","",IF(ISNUMBER(D31),D31,NA()))</f>
        <v>29160</v>
      </c>
    </row>
    <row r="32" customFormat="false" ht="23" hidden="false" customHeight="true" outlineLevel="0" collapsed="false">
      <c r="A32" s="1" t="s">
        <v>52</v>
      </c>
      <c r="B32" s="1" t="s">
        <v>36</v>
      </c>
      <c r="C32" s="1" t="s">
        <v>8</v>
      </c>
      <c r="D32" s="11" t="n">
        <v>8640</v>
      </c>
      <c r="E32" s="9" t="s">
        <v>9</v>
      </c>
      <c r="F32" s="1"/>
      <c r="G32" s="5" t="n">
        <f aca="false">IF(D32="","",IF(ISNUMBER(D32),D32,NA()))</f>
        <v>8640</v>
      </c>
    </row>
    <row r="33" customFormat="false" ht="23" hidden="false" customHeight="true" outlineLevel="0" collapsed="false">
      <c r="A33" s="1" t="s">
        <v>52</v>
      </c>
      <c r="B33" s="1" t="s">
        <v>37</v>
      </c>
      <c r="C33" s="1" t="s">
        <v>38</v>
      </c>
      <c r="D33" s="11" t="n">
        <v>28440</v>
      </c>
      <c r="E33" s="9" t="s">
        <v>39</v>
      </c>
      <c r="F33" s="1"/>
      <c r="G33" s="5" t="n">
        <f aca="false">IF(D33="","",IF(ISNUMBER(D33),D33,NA()))</f>
        <v>28440</v>
      </c>
    </row>
    <row r="34" customFormat="false" ht="23" hidden="false" customHeight="true" outlineLevel="0" collapsed="false">
      <c r="A34" s="1" t="s">
        <v>53</v>
      </c>
      <c r="B34" s="1" t="s">
        <v>36</v>
      </c>
      <c r="C34" s="1" t="s">
        <v>8</v>
      </c>
      <c r="D34" s="11" t="n">
        <v>8120</v>
      </c>
      <c r="E34" s="9" t="s">
        <v>9</v>
      </c>
      <c r="F34" s="1"/>
      <c r="G34" s="5" t="n">
        <f aca="false">IF(D34="","",IF(ISNUMBER(D34),D34,NA()))</f>
        <v>8120</v>
      </c>
    </row>
    <row r="35" customFormat="false" ht="23" hidden="false" customHeight="true" outlineLevel="0" collapsed="false">
      <c r="A35" s="1" t="s">
        <v>53</v>
      </c>
      <c r="B35" s="1" t="s">
        <v>37</v>
      </c>
      <c r="C35" s="1" t="s">
        <v>38</v>
      </c>
      <c r="D35" s="11" t="n">
        <v>27000</v>
      </c>
      <c r="E35" s="9" t="s">
        <v>39</v>
      </c>
      <c r="F35" s="1"/>
      <c r="G35" s="5" t="n">
        <f aca="false">IF(D35="","",IF(ISNUMBER(D35),D35,NA()))</f>
        <v>27000</v>
      </c>
    </row>
    <row r="36" customFormat="false" ht="23" hidden="false" customHeight="true" outlineLevel="0" collapsed="false">
      <c r="A36" s="1" t="s">
        <v>54</v>
      </c>
      <c r="B36" s="1" t="s">
        <v>36</v>
      </c>
      <c r="C36" s="1" t="s">
        <v>8</v>
      </c>
      <c r="D36" s="11" t="n">
        <v>9340</v>
      </c>
      <c r="E36" s="9" t="s">
        <v>9</v>
      </c>
      <c r="F36" s="1"/>
      <c r="G36" s="5" t="n">
        <f aca="false">IF(D36="","",IF(ISNUMBER(D36),D36,NA()))</f>
        <v>9340</v>
      </c>
    </row>
    <row r="37" customFormat="false" ht="23" hidden="false" customHeight="true" outlineLevel="0" collapsed="false">
      <c r="A37" s="1" t="s">
        <v>54</v>
      </c>
      <c r="B37" s="1" t="s">
        <v>37</v>
      </c>
      <c r="C37" s="1" t="s">
        <v>38</v>
      </c>
      <c r="D37" s="11" t="n">
        <v>27720</v>
      </c>
      <c r="E37" s="9" t="s">
        <v>39</v>
      </c>
      <c r="F37" s="1"/>
      <c r="G37" s="5" t="n">
        <f aca="false">IF(D37="","",IF(ISNUMBER(D37),D37,NA()))</f>
        <v>27720</v>
      </c>
    </row>
    <row r="38" customFormat="false" ht="23" hidden="false" customHeight="true" outlineLevel="0" collapsed="false">
      <c r="A38" s="1" t="s">
        <v>55</v>
      </c>
      <c r="B38" s="1" t="s">
        <v>36</v>
      </c>
      <c r="C38" s="1" t="s">
        <v>8</v>
      </c>
      <c r="D38" s="11" t="n">
        <v>6890</v>
      </c>
      <c r="E38" s="9" t="s">
        <v>9</v>
      </c>
      <c r="F38" s="1"/>
      <c r="G38" s="5" t="n">
        <f aca="false">IF(D38="","",IF(ISNUMBER(D38),D38,NA()))</f>
        <v>6890</v>
      </c>
    </row>
    <row r="39" customFormat="false" ht="23" hidden="false" customHeight="true" outlineLevel="0" collapsed="false">
      <c r="A39" s="1" t="s">
        <v>55</v>
      </c>
      <c r="B39" s="1" t="s">
        <v>37</v>
      </c>
      <c r="C39" s="1" t="s">
        <v>38</v>
      </c>
      <c r="D39" s="11" t="n">
        <v>23760</v>
      </c>
      <c r="E39" s="9" t="s">
        <v>39</v>
      </c>
      <c r="F39" s="1"/>
      <c r="G39" s="5" t="n">
        <f aca="false">IF(D39="","",IF(ISNUMBER(D39),D39,NA()))</f>
        <v>23760</v>
      </c>
    </row>
    <row r="40" customFormat="false" ht="23" hidden="false" customHeight="true" outlineLevel="0" collapsed="false">
      <c r="A40" s="1" t="s">
        <v>56</v>
      </c>
      <c r="B40" s="1" t="s">
        <v>36</v>
      </c>
      <c r="C40" s="1" t="s">
        <v>8</v>
      </c>
      <c r="D40" s="11" t="n">
        <v>10120</v>
      </c>
      <c r="E40" s="9" t="s">
        <v>9</v>
      </c>
      <c r="F40" s="1"/>
      <c r="G40" s="5" t="n">
        <f aca="false">IF(D40="","",IF(ISNUMBER(D40),D40,NA()))</f>
        <v>10120</v>
      </c>
    </row>
    <row r="41" customFormat="false" ht="23" hidden="false" customHeight="true" outlineLevel="0" collapsed="false">
      <c r="A41" s="1" t="s">
        <v>56</v>
      </c>
      <c r="B41" s="1" t="s">
        <v>37</v>
      </c>
      <c r="C41" s="1" t="s">
        <v>38</v>
      </c>
      <c r="D41" s="11" t="n">
        <v>25920</v>
      </c>
      <c r="E41" s="9" t="s">
        <v>39</v>
      </c>
      <c r="F41" s="1"/>
      <c r="G41" s="5" t="n">
        <f aca="false">IF(D41="","",IF(ISNUMBER(D41),D41,NA()))</f>
        <v>25920</v>
      </c>
    </row>
    <row r="42" customFormat="false" ht="23" hidden="false" customHeight="true" outlineLevel="0" collapsed="false">
      <c r="A42" s="1" t="s">
        <v>57</v>
      </c>
      <c r="B42" s="1" t="s">
        <v>36</v>
      </c>
      <c r="C42" s="1" t="s">
        <v>8</v>
      </c>
      <c r="D42" s="11" t="n">
        <v>7450</v>
      </c>
      <c r="E42" s="9" t="s">
        <v>9</v>
      </c>
      <c r="F42" s="1"/>
      <c r="G42" s="5" t="n">
        <f aca="false">IF(D42="","",IF(ISNUMBER(D42),D42,NA()))</f>
        <v>7450</v>
      </c>
    </row>
    <row r="43" customFormat="false" ht="23" hidden="false" customHeight="true" outlineLevel="0" collapsed="false">
      <c r="A43" s="1" t="s">
        <v>57</v>
      </c>
      <c r="B43" s="1" t="s">
        <v>37</v>
      </c>
      <c r="C43" s="1" t="s">
        <v>38</v>
      </c>
      <c r="D43" s="11" t="n">
        <v>26640</v>
      </c>
      <c r="E43" s="9" t="s">
        <v>39</v>
      </c>
      <c r="F43" s="1"/>
      <c r="G43" s="5" t="n">
        <f aca="false">IF(D43="","",IF(ISNUMBER(D43),D43,NA()))</f>
        <v>26640</v>
      </c>
    </row>
    <row r="44" customFormat="false" ht="23" hidden="false" customHeight="true" outlineLevel="0" collapsed="false">
      <c r="A44" s="1" t="s">
        <v>58</v>
      </c>
      <c r="B44" s="1" t="s">
        <v>36</v>
      </c>
      <c r="C44" s="1" t="s">
        <v>8</v>
      </c>
      <c r="D44" s="11" t="n">
        <v>13180</v>
      </c>
      <c r="E44" s="9" t="s">
        <v>9</v>
      </c>
      <c r="F44" s="1"/>
      <c r="G44" s="5" t="n">
        <f aca="false">IF(D44="","",IF(ISNUMBER(D44),D44,NA()))</f>
        <v>13180</v>
      </c>
    </row>
    <row r="45" customFormat="false" ht="23" hidden="false" customHeight="true" outlineLevel="0" collapsed="false">
      <c r="A45" s="1" t="s">
        <v>58</v>
      </c>
      <c r="B45" s="1" t="s">
        <v>37</v>
      </c>
      <c r="C45" s="1" t="s">
        <v>38</v>
      </c>
      <c r="D45" s="11" t="n">
        <v>29880</v>
      </c>
      <c r="E45" s="9" t="s">
        <v>39</v>
      </c>
      <c r="F45" s="1"/>
      <c r="G45" s="5" t="n">
        <f aca="false">IF(D45="","",IF(ISNUMBER(D45),D45,NA()))</f>
        <v>29880</v>
      </c>
    </row>
    <row r="46" customFormat="false" ht="23" hidden="false" customHeight="true" outlineLevel="0" collapsed="false">
      <c r="A46" s="1" t="s">
        <v>59</v>
      </c>
      <c r="B46" s="1" t="s">
        <v>36</v>
      </c>
      <c r="C46" s="1" t="s">
        <v>8</v>
      </c>
      <c r="D46" s="11" t="n">
        <v>8720</v>
      </c>
      <c r="E46" s="9" t="s">
        <v>9</v>
      </c>
      <c r="F46" s="1"/>
      <c r="G46" s="5" t="n">
        <f aca="false">IF(D46="","",IF(ISNUMBER(D46),D46,NA()))</f>
        <v>8720</v>
      </c>
    </row>
    <row r="47" customFormat="false" ht="23" hidden="false" customHeight="true" outlineLevel="0" collapsed="false">
      <c r="A47" s="1" t="s">
        <v>59</v>
      </c>
      <c r="B47" s="1" t="s">
        <v>37</v>
      </c>
      <c r="C47" s="1" t="s">
        <v>38</v>
      </c>
      <c r="D47" s="11" t="n">
        <v>28080</v>
      </c>
      <c r="E47" s="9" t="s">
        <v>39</v>
      </c>
      <c r="F47" s="1"/>
      <c r="G47" s="5" t="n">
        <f aca="false">IF(D47="","",IF(ISNUMBER(D47),D47,NA()))</f>
        <v>28080</v>
      </c>
    </row>
    <row r="48" customFormat="false" ht="23" hidden="false" customHeight="true" outlineLevel="0" collapsed="false">
      <c r="A48" s="1" t="s">
        <v>60</v>
      </c>
      <c r="B48" s="1" t="s">
        <v>36</v>
      </c>
      <c r="C48" s="1" t="s">
        <v>8</v>
      </c>
      <c r="D48" s="11" t="n">
        <v>8450</v>
      </c>
      <c r="E48" s="9" t="s">
        <v>9</v>
      </c>
      <c r="F48" s="1"/>
      <c r="G48" s="5" t="n">
        <f aca="false">IF(D48="","",IF(ISNUMBER(D48),D48,NA()))</f>
        <v>8450</v>
      </c>
    </row>
    <row r="49" customFormat="false" ht="23" hidden="false" customHeight="true" outlineLevel="0" collapsed="false">
      <c r="A49" s="1" t="s">
        <v>60</v>
      </c>
      <c r="B49" s="1" t="s">
        <v>37</v>
      </c>
      <c r="C49" s="1" t="s">
        <v>38</v>
      </c>
      <c r="D49" s="11" t="n">
        <v>27360</v>
      </c>
      <c r="E49" s="9" t="s">
        <v>39</v>
      </c>
      <c r="F49" s="1"/>
      <c r="G49" s="5" t="n">
        <f aca="false">IF(D49="","",IF(ISNUMBER(D49),D49,NA()))</f>
        <v>27360</v>
      </c>
    </row>
    <row r="50" customFormat="false" ht="23" hidden="false" customHeight="true" outlineLevel="0" collapsed="false">
      <c r="A50" s="1" t="s">
        <v>61</v>
      </c>
      <c r="B50" s="1" t="s">
        <v>36</v>
      </c>
      <c r="C50" s="1" t="s">
        <v>8</v>
      </c>
      <c r="D50" s="11" t="n">
        <v>9630</v>
      </c>
      <c r="E50" s="9" t="s">
        <v>9</v>
      </c>
      <c r="F50" s="1"/>
      <c r="G50" s="5" t="n">
        <f aca="false">IF(D50="","",IF(ISNUMBER(D50),D50,NA()))</f>
        <v>9630</v>
      </c>
    </row>
    <row r="51" customFormat="false" ht="23" hidden="false" customHeight="true" outlineLevel="0" collapsed="false">
      <c r="A51" s="1" t="s">
        <v>61</v>
      </c>
      <c r="B51" s="1" t="s">
        <v>37</v>
      </c>
      <c r="C51" s="1" t="s">
        <v>38</v>
      </c>
      <c r="D51" s="11" t="n">
        <v>28080</v>
      </c>
      <c r="E51" s="9" t="s">
        <v>39</v>
      </c>
      <c r="F51" s="1"/>
      <c r="G51" s="5" t="n">
        <f aca="false">IF(D51="","",IF(ISNUMBER(D51),D51,NA()))</f>
        <v>28080</v>
      </c>
    </row>
    <row r="52" customFormat="false" ht="23" hidden="false" customHeight="true" outlineLevel="0" collapsed="false">
      <c r="A52" s="1" t="s">
        <v>62</v>
      </c>
      <c r="B52" s="1" t="s">
        <v>36</v>
      </c>
      <c r="C52" s="1" t="s">
        <v>8</v>
      </c>
      <c r="D52" s="11" t="n">
        <v>7210</v>
      </c>
      <c r="E52" s="9" t="s">
        <v>9</v>
      </c>
      <c r="F52" s="1"/>
      <c r="G52" s="5" t="n">
        <f aca="false">IF(D52="","",IF(ISNUMBER(D52),D52,NA()))</f>
        <v>7210</v>
      </c>
    </row>
    <row r="53" customFormat="false" ht="23" hidden="false" customHeight="true" outlineLevel="0" collapsed="false">
      <c r="A53" s="1" t="s">
        <v>62</v>
      </c>
      <c r="B53" s="1" t="s">
        <v>37</v>
      </c>
      <c r="C53" s="1" t="s">
        <v>38</v>
      </c>
      <c r="D53" s="11" t="n">
        <v>24840</v>
      </c>
      <c r="E53" s="9" t="s">
        <v>39</v>
      </c>
      <c r="F53" s="1"/>
      <c r="G53" s="5" t="n">
        <f aca="false">IF(D53="","",IF(ISNUMBER(D53),D53,NA()))</f>
        <v>24840</v>
      </c>
    </row>
    <row r="54" customFormat="false" ht="23" hidden="false" customHeight="true" outlineLevel="0" collapsed="false">
      <c r="A54" s="1" t="s">
        <v>63</v>
      </c>
      <c r="B54" s="1" t="s">
        <v>36</v>
      </c>
      <c r="C54" s="1" t="s">
        <v>8</v>
      </c>
      <c r="D54" s="11" t="n">
        <v>10480</v>
      </c>
      <c r="E54" s="9" t="s">
        <v>9</v>
      </c>
      <c r="F54" s="1"/>
      <c r="G54" s="5" t="n">
        <f aca="false">IF(D54="","",IF(ISNUMBER(D54),D54,NA()))</f>
        <v>10480</v>
      </c>
    </row>
    <row r="55" customFormat="false" ht="23" hidden="false" customHeight="true" outlineLevel="0" collapsed="false">
      <c r="A55" s="1" t="s">
        <v>63</v>
      </c>
      <c r="B55" s="1" t="s">
        <v>37</v>
      </c>
      <c r="C55" s="1" t="s">
        <v>38</v>
      </c>
      <c r="D55" s="11" t="n">
        <v>26640</v>
      </c>
      <c r="E55" s="9" t="s">
        <v>39</v>
      </c>
      <c r="F55" s="1"/>
      <c r="G55" s="5" t="n">
        <f aca="false">IF(D55="","",IF(ISNUMBER(D55),D55,NA()))</f>
        <v>26640</v>
      </c>
    </row>
    <row r="56" customFormat="false" ht="23" hidden="false" customHeight="true" outlineLevel="0" collapsed="false">
      <c r="A56" s="1" t="s">
        <v>64</v>
      </c>
      <c r="B56" s="1" t="s">
        <v>36</v>
      </c>
      <c r="C56" s="1" t="s">
        <v>8</v>
      </c>
      <c r="D56" s="11" t="n">
        <v>7820</v>
      </c>
      <c r="E56" s="9" t="s">
        <v>9</v>
      </c>
      <c r="F56" s="1"/>
      <c r="G56" s="5" t="n">
        <f aca="false">IF(D56="","",IF(ISNUMBER(D56),D56,NA()))</f>
        <v>7820</v>
      </c>
    </row>
    <row r="57" customFormat="false" ht="23" hidden="false" customHeight="true" outlineLevel="0" collapsed="false">
      <c r="A57" s="1" t="s">
        <v>64</v>
      </c>
      <c r="B57" s="1" t="s">
        <v>37</v>
      </c>
      <c r="C57" s="1" t="s">
        <v>38</v>
      </c>
      <c r="D57" s="11" t="n">
        <v>27000</v>
      </c>
      <c r="E57" s="9" t="s">
        <v>39</v>
      </c>
      <c r="F57" s="1"/>
      <c r="G57" s="5" t="n">
        <f aca="false">IF(D57="","",IF(ISNUMBER(D57),D57,NA()))</f>
        <v>27000</v>
      </c>
    </row>
    <row r="58" customFormat="false" ht="23" hidden="false" customHeight="true" outlineLevel="0" collapsed="false">
      <c r="A58" s="1" t="s">
        <v>65</v>
      </c>
      <c r="B58" s="1" t="s">
        <v>36</v>
      </c>
      <c r="C58" s="1" t="s">
        <v>8</v>
      </c>
      <c r="D58" s="11" t="n">
        <v>13840</v>
      </c>
      <c r="E58" s="9" t="s">
        <v>9</v>
      </c>
      <c r="F58" s="1"/>
      <c r="G58" s="5" t="n">
        <f aca="false">IF(D58="","",IF(ISNUMBER(D58),D58,NA()))</f>
        <v>13840</v>
      </c>
    </row>
    <row r="59" customFormat="false" ht="23" hidden="false" customHeight="true" outlineLevel="0" collapsed="false">
      <c r="A59" s="1" t="s">
        <v>65</v>
      </c>
      <c r="B59" s="1" t="s">
        <v>37</v>
      </c>
      <c r="C59" s="1" t="s">
        <v>38</v>
      </c>
      <c r="D59" s="11" t="n">
        <v>29520</v>
      </c>
      <c r="E59" s="9" t="s">
        <v>39</v>
      </c>
      <c r="F59" s="1"/>
      <c r="G59" s="5" t="n">
        <f aca="false">IF(D59="","",IF(ISNUMBER(D59),D59,NA()))</f>
        <v>29520</v>
      </c>
    </row>
    <row r="60" customFormat="false" ht="23" hidden="false" customHeight="true" outlineLevel="0" collapsed="false">
      <c r="A60" s="1" t="s">
        <v>66</v>
      </c>
      <c r="B60" s="1" t="s">
        <v>36</v>
      </c>
      <c r="C60" s="1" t="s">
        <v>8</v>
      </c>
      <c r="D60" s="11" t="n">
        <v>9150</v>
      </c>
      <c r="E60" s="9" t="s">
        <v>9</v>
      </c>
      <c r="F60" s="1"/>
      <c r="G60" s="5" t="n">
        <f aca="false">IF(D60="","",IF(ISNUMBER(D60),D60,NA()))</f>
        <v>9150</v>
      </c>
    </row>
    <row r="61" customFormat="false" ht="23" hidden="false" customHeight="true" outlineLevel="0" collapsed="false">
      <c r="A61" s="1" t="s">
        <v>66</v>
      </c>
      <c r="B61" s="1" t="s">
        <v>37</v>
      </c>
      <c r="C61" s="1" t="s">
        <v>38</v>
      </c>
      <c r="D61" s="11" t="n">
        <v>28800</v>
      </c>
      <c r="E61" s="9" t="s">
        <v>39</v>
      </c>
      <c r="F61" s="1"/>
      <c r="G61" s="5" t="n">
        <f aca="false">IF(D61="","",IF(ISNUMBER(D61),D61,NA()))</f>
        <v>28800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